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os" sheetId="1" state="visible" r:id="rId3"/>
    <sheet name="Parametros" sheetId="2" state="visible" r:id="rId4"/>
    <sheet name="Distancias_Cidades" sheetId="3" state="visible" r:id="rId5"/>
    <sheet name="Distancias_Estados" sheetId="4" state="visible" r:id="rId6"/>
  </sheets>
  <definedNames>
    <definedName function="false" hidden="true" localSheetId="2" name="_xlnm._FilterDatabase" vbProcedure="false">Distancias_Cidades!$A$1:$F$77</definedName>
    <definedName function="false" hidden="true" localSheetId="3" name="_xlnm._FilterDatabase" vbProcedure="false">Distancias_Estados!$A$1:$F$21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Distância rodoviária aproximada em km (estimativa). Validar em mapa online.</t>
        </r>
      </text>
    </comment>
  </commentList>
</comments>
</file>

<file path=xl/sharedStrings.xml><?xml version="1.0" encoding="utf-8"?>
<sst xmlns="http://schemas.openxmlformats.org/spreadsheetml/2006/main" count="505" uniqueCount="90">
  <si>
    <t xml:space="preserve">ID_Polo</t>
  </si>
  <si>
    <t xml:space="preserve">Nome_Polo</t>
  </si>
  <si>
    <t xml:space="preserve">Cidade_Sede</t>
  </si>
  <si>
    <t xml:space="preserve">UF_Sede</t>
  </si>
  <si>
    <t xml:space="preserve">SP</t>
  </si>
  <si>
    <t xml:space="preserve">Polo São Paulo</t>
  </si>
  <si>
    <t xml:space="preserve">São Paulo</t>
  </si>
  <si>
    <t xml:space="preserve">RS</t>
  </si>
  <si>
    <t xml:space="preserve">Polo Rio Grande do Sul</t>
  </si>
  <si>
    <t xml:space="preserve">Porto Alegre</t>
  </si>
  <si>
    <t xml:space="preserve">Cidade_Sede é uma premissa (a empresa não informou a cidade de cada polo). Altere aqui e ajuste as distâncias se necessário.</t>
  </si>
  <si>
    <t xml:space="preserve">Parâmetros para o cálculo de combustível</t>
  </si>
  <si>
    <t xml:space="preserve">Parâmetro</t>
  </si>
  <si>
    <t xml:space="preserve">Valor</t>
  </si>
  <si>
    <t xml:space="preserve">Unidade</t>
  </si>
  <si>
    <t xml:space="preserve">Observação</t>
  </si>
  <si>
    <t xml:space="preserve">Preço da gasolina comum</t>
  </si>
  <si>
    <t xml:space="preserve">R$/litro</t>
  </si>
  <si>
    <t xml:space="preserve">Média nacional ANP, semana de referência 24/07/2026 (R$ 6,597/L, 8.918 postos). Atualize para o valor mais recente antes da análise final.</t>
  </si>
  <si>
    <t xml:space="preserve">Consumo médio do veículo</t>
  </si>
  <si>
    <t xml:space="preserve">km/litro</t>
  </si>
  <si>
    <t xml:space="preserve">Premissa genérica. Ajuste conforme o veículo que você quiser considerar (carga pesada consome mais).</t>
  </si>
  <si>
    <t xml:space="preserve">Como usar</t>
  </si>
  <si>
    <t xml:space="preserve">Células com fonte azul e fundo amarelo são parâmetros editáveis. Fonte azul sem fundo são dados digitados (inputs).</t>
  </si>
  <si>
    <t xml:space="preserve">O cálculo do custo de combustível fica por sua conta: distância (km) ÷ consumo (km/L) × preço (R$/L).</t>
  </si>
  <si>
    <t xml:space="preserve">Decida se vai considerar só a ida ou ida e volta (multiplicar a distância por 2) e documente no projeto.</t>
  </si>
  <si>
    <t xml:space="preserve">Distâncias são rodoviárias aproximadas, entre a cidade-sede do polo e a cidade de destino. Foram estimadas sem consulta a um mapa em tempo real: valide no Google Maps (ou outra fonte) e substitua, pois podem variar cerca de 5 a 10%.</t>
  </si>
  <si>
    <t xml:space="preserve">Entrega dentro da própria cidade do polo foi fixada em 20 km (premissa), para não gerar custo zero.</t>
  </si>
  <si>
    <t xml:space="preserve">Uma regra de preço único simplifica a análise. Na prática o preço varia por estado (ex.: em jul/2026 a média da ANP era R$ 6,43 em SP e R$ 6,28 no RS).</t>
  </si>
  <si>
    <t xml:space="preserve">Veículos de carga costumam usar diesel. A gasolina foi mantida porque foi o combustível pedido para o projeto.</t>
  </si>
  <si>
    <t xml:space="preserve">Cidade_Origem</t>
  </si>
  <si>
    <t xml:space="preserve">UF_Destino</t>
  </si>
  <si>
    <t xml:space="preserve">Estado_Destino</t>
  </si>
  <si>
    <t xml:space="preserve">Cidade_Destino</t>
  </si>
  <si>
    <t xml:space="preserve">Distancia_km</t>
  </si>
  <si>
    <t xml:space="preserve">Campinas</t>
  </si>
  <si>
    <t xml:space="preserve">Ribeirão Preto</t>
  </si>
  <si>
    <t xml:space="preserve">Santos</t>
  </si>
  <si>
    <t xml:space="preserve">Sorocaba</t>
  </si>
  <si>
    <t xml:space="preserve">São José dos Campos</t>
  </si>
  <si>
    <t xml:space="preserve">RJ</t>
  </si>
  <si>
    <t xml:space="preserve">Rio de Janeiro</t>
  </si>
  <si>
    <t xml:space="preserve">Niterói</t>
  </si>
  <si>
    <t xml:space="preserve">Volta Redonda</t>
  </si>
  <si>
    <t xml:space="preserve">Campos dos Goytacazes</t>
  </si>
  <si>
    <t xml:space="preserve">MG</t>
  </si>
  <si>
    <t xml:space="preserve">Minas Gerais</t>
  </si>
  <si>
    <t xml:space="preserve">Belo Horizonte</t>
  </si>
  <si>
    <t xml:space="preserve">Uberlândia</t>
  </si>
  <si>
    <t xml:space="preserve">Juiz de Fora</t>
  </si>
  <si>
    <t xml:space="preserve">Contagem</t>
  </si>
  <si>
    <t xml:space="preserve">PR</t>
  </si>
  <si>
    <t xml:space="preserve">Paraná</t>
  </si>
  <si>
    <t xml:space="preserve">Curitiba</t>
  </si>
  <si>
    <t xml:space="preserve">Londrina</t>
  </si>
  <si>
    <t xml:space="preserve">Maringá</t>
  </si>
  <si>
    <t xml:space="preserve">Cascavel</t>
  </si>
  <si>
    <t xml:space="preserve">SC</t>
  </si>
  <si>
    <t xml:space="preserve">Santa Catarina</t>
  </si>
  <si>
    <t xml:space="preserve">Joinville</t>
  </si>
  <si>
    <t xml:space="preserve">Florianópolis</t>
  </si>
  <si>
    <t xml:space="preserve">Blumenau</t>
  </si>
  <si>
    <t xml:space="preserve">Chapecó</t>
  </si>
  <si>
    <t xml:space="preserve">Rio Grande do Sul</t>
  </si>
  <si>
    <t xml:space="preserve">Caxias do Sul</t>
  </si>
  <si>
    <t xml:space="preserve">Pelotas</t>
  </si>
  <si>
    <t xml:space="preserve">Santa Maria</t>
  </si>
  <si>
    <t xml:space="preserve">BA</t>
  </si>
  <si>
    <t xml:space="preserve">Bahia</t>
  </si>
  <si>
    <t xml:space="preserve">Salvador</t>
  </si>
  <si>
    <t xml:space="preserve">Feira de Santana</t>
  </si>
  <si>
    <t xml:space="preserve">Vitória da Conquista</t>
  </si>
  <si>
    <t xml:space="preserve">GO</t>
  </si>
  <si>
    <t xml:space="preserve">Goiás</t>
  </si>
  <si>
    <t xml:space="preserve">Goiânia</t>
  </si>
  <si>
    <t xml:space="preserve">Anápolis</t>
  </si>
  <si>
    <t xml:space="preserve">Rio Verde</t>
  </si>
  <si>
    <t xml:space="preserve">PE</t>
  </si>
  <si>
    <t xml:space="preserve">Pernambuco</t>
  </si>
  <si>
    <t xml:space="preserve">Recife</t>
  </si>
  <si>
    <t xml:space="preserve">Caruaru</t>
  </si>
  <si>
    <t xml:space="preserve">Petrolina</t>
  </si>
  <si>
    <t xml:space="preserve">CE</t>
  </si>
  <si>
    <t xml:space="preserve">Ceará</t>
  </si>
  <si>
    <t xml:space="preserve">Fortaleza</t>
  </si>
  <si>
    <t xml:space="preserve">Juazeiro do Norte</t>
  </si>
  <si>
    <t xml:space="preserve">Sobral</t>
  </si>
  <si>
    <t xml:space="preserve">Qtd_Cidades</t>
  </si>
  <si>
    <t xml:space="preserve">Distancia_Media_km</t>
  </si>
  <si>
    <t xml:space="preserve">Distancia_Media_km é a média simples das cidades de destino listadas para o estado em Distancias_Cidades (fórmula).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</si>
</sst>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4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2" t="s">
        <v>7</v>
      </c>
    </row>
    <row r="5" customFormat="false" ht="15" hidden="false" customHeight="false" outlineLevel="0" collapsed="false">
      <c r="A5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4" t="s">
        <v>11</v>
      </c>
    </row>
    <row r="3" customFormat="false" ht="1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</row>
    <row r="4" customFormat="false" ht="30" hidden="false" customHeight="true" outlineLevel="0" collapsed="false">
      <c r="A4" s="5" t="s">
        <v>16</v>
      </c>
      <c r="B4" s="6" t="n">
        <v>6.6</v>
      </c>
      <c r="C4" s="5" t="s">
        <v>17</v>
      </c>
      <c r="D4" s="7" t="s">
        <v>18</v>
      </c>
    </row>
    <row r="5" customFormat="false" ht="30" hidden="false" customHeight="true" outlineLevel="0" collapsed="false">
      <c r="A5" s="5" t="s">
        <v>19</v>
      </c>
      <c r="B5" s="8" t="n">
        <v>8</v>
      </c>
      <c r="C5" s="5" t="s">
        <v>20</v>
      </c>
      <c r="D5" s="7" t="s">
        <v>21</v>
      </c>
    </row>
    <row r="7" customFormat="false" ht="15" hidden="false" customHeight="false" outlineLevel="0" collapsed="false">
      <c r="A7" s="9" t="s">
        <v>22</v>
      </c>
    </row>
    <row r="8" customFormat="false" ht="30" hidden="false" customHeight="true" outlineLevel="0" collapsed="false">
      <c r="A8" s="10" t="s">
        <v>23</v>
      </c>
      <c r="B8" s="10"/>
      <c r="C8" s="10"/>
      <c r="D8" s="10"/>
    </row>
    <row r="9" customFormat="false" ht="30" hidden="false" customHeight="true" outlineLevel="0" collapsed="false">
      <c r="A9" s="10" t="s">
        <v>24</v>
      </c>
      <c r="B9" s="10"/>
      <c r="C9" s="10"/>
      <c r="D9" s="10"/>
    </row>
    <row r="10" customFormat="false" ht="30" hidden="false" customHeight="true" outlineLevel="0" collapsed="false">
      <c r="A10" s="10" t="s">
        <v>25</v>
      </c>
      <c r="B10" s="10"/>
      <c r="C10" s="10"/>
      <c r="D10" s="10"/>
    </row>
    <row r="11" customFormat="false" ht="30" hidden="false" customHeight="true" outlineLevel="0" collapsed="false">
      <c r="A11" s="10" t="s">
        <v>26</v>
      </c>
      <c r="B11" s="10"/>
      <c r="C11" s="10"/>
      <c r="D11" s="10"/>
    </row>
    <row r="12" customFormat="false" ht="30" hidden="false" customHeight="true" outlineLevel="0" collapsed="false">
      <c r="A12" s="10" t="s">
        <v>27</v>
      </c>
      <c r="B12" s="10"/>
      <c r="C12" s="10"/>
      <c r="D12" s="10"/>
    </row>
    <row r="13" customFormat="false" ht="30" hidden="false" customHeight="true" outlineLevel="0" collapsed="false">
      <c r="A13" s="10" t="s">
        <v>28</v>
      </c>
      <c r="B13" s="10"/>
      <c r="C13" s="10"/>
      <c r="D13" s="10"/>
    </row>
    <row r="14" customFormat="false" ht="30" hidden="false" customHeight="true" outlineLevel="0" collapsed="false">
      <c r="A14" s="10" t="s">
        <v>29</v>
      </c>
      <c r="B14" s="10"/>
      <c r="C14" s="10"/>
      <c r="D14" s="10"/>
    </row>
  </sheetData>
  <mergeCells count="7"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customFormat="false" ht="15" hidden="false" customHeight="false" outlineLevel="0" collapsed="false">
      <c r="A2" s="2" t="s">
        <v>4</v>
      </c>
      <c r="B2" s="2" t="s">
        <v>6</v>
      </c>
      <c r="C2" s="2" t="s">
        <v>4</v>
      </c>
      <c r="D2" s="2" t="s">
        <v>6</v>
      </c>
      <c r="E2" s="2" t="s">
        <v>6</v>
      </c>
      <c r="F2" s="11" t="n">
        <v>20</v>
      </c>
    </row>
    <row r="3" customFormat="false" ht="15" hidden="false" customHeight="false" outlineLevel="0" collapsed="false">
      <c r="A3" s="2" t="s">
        <v>4</v>
      </c>
      <c r="B3" s="2" t="s">
        <v>6</v>
      </c>
      <c r="C3" s="2" t="s">
        <v>4</v>
      </c>
      <c r="D3" s="2" t="s">
        <v>6</v>
      </c>
      <c r="E3" s="2" t="s">
        <v>35</v>
      </c>
      <c r="F3" s="11" t="n">
        <v>95</v>
      </c>
    </row>
    <row r="4" customFormat="false" ht="15" hidden="false" customHeight="false" outlineLevel="0" collapsed="false">
      <c r="A4" s="2" t="s">
        <v>4</v>
      </c>
      <c r="B4" s="2" t="s">
        <v>6</v>
      </c>
      <c r="C4" s="2" t="s">
        <v>4</v>
      </c>
      <c r="D4" s="2" t="s">
        <v>6</v>
      </c>
      <c r="E4" s="2" t="s">
        <v>36</v>
      </c>
      <c r="F4" s="11" t="n">
        <v>315</v>
      </c>
    </row>
    <row r="5" customFormat="false" ht="15" hidden="false" customHeight="false" outlineLevel="0" collapsed="false">
      <c r="A5" s="2" t="s">
        <v>4</v>
      </c>
      <c r="B5" s="2" t="s">
        <v>6</v>
      </c>
      <c r="C5" s="2" t="s">
        <v>4</v>
      </c>
      <c r="D5" s="2" t="s">
        <v>6</v>
      </c>
      <c r="E5" s="2" t="s">
        <v>37</v>
      </c>
      <c r="F5" s="11" t="n">
        <v>72</v>
      </c>
    </row>
    <row r="6" customFormat="false" ht="15" hidden="false" customHeight="false" outlineLevel="0" collapsed="false">
      <c r="A6" s="2" t="s">
        <v>4</v>
      </c>
      <c r="B6" s="2" t="s">
        <v>6</v>
      </c>
      <c r="C6" s="2" t="s">
        <v>4</v>
      </c>
      <c r="D6" s="2" t="s">
        <v>6</v>
      </c>
      <c r="E6" s="2" t="s">
        <v>38</v>
      </c>
      <c r="F6" s="11" t="n">
        <v>100</v>
      </c>
    </row>
    <row r="7" customFormat="false" ht="15" hidden="false" customHeight="false" outlineLevel="0" collapsed="false">
      <c r="A7" s="2" t="s">
        <v>4</v>
      </c>
      <c r="B7" s="2" t="s">
        <v>6</v>
      </c>
      <c r="C7" s="2" t="s">
        <v>4</v>
      </c>
      <c r="D7" s="2" t="s">
        <v>6</v>
      </c>
      <c r="E7" s="2" t="s">
        <v>39</v>
      </c>
      <c r="F7" s="11" t="n">
        <v>95</v>
      </c>
    </row>
    <row r="8" customFormat="false" ht="15" hidden="false" customHeight="false" outlineLevel="0" collapsed="false">
      <c r="A8" s="2" t="s">
        <v>4</v>
      </c>
      <c r="B8" s="2" t="s">
        <v>6</v>
      </c>
      <c r="C8" s="2" t="s">
        <v>40</v>
      </c>
      <c r="D8" s="2" t="s">
        <v>41</v>
      </c>
      <c r="E8" s="2" t="s">
        <v>41</v>
      </c>
      <c r="F8" s="11" t="n">
        <v>435</v>
      </c>
    </row>
    <row r="9" customFormat="false" ht="15" hidden="false" customHeight="false" outlineLevel="0" collapsed="false">
      <c r="A9" s="2" t="s">
        <v>4</v>
      </c>
      <c r="B9" s="2" t="s">
        <v>6</v>
      </c>
      <c r="C9" s="2" t="s">
        <v>40</v>
      </c>
      <c r="D9" s="2" t="s">
        <v>41</v>
      </c>
      <c r="E9" s="2" t="s">
        <v>42</v>
      </c>
      <c r="F9" s="11" t="n">
        <v>450</v>
      </c>
    </row>
    <row r="10" customFormat="false" ht="15" hidden="false" customHeight="false" outlineLevel="0" collapsed="false">
      <c r="A10" s="2" t="s">
        <v>4</v>
      </c>
      <c r="B10" s="2" t="s">
        <v>6</v>
      </c>
      <c r="C10" s="2" t="s">
        <v>40</v>
      </c>
      <c r="D10" s="2" t="s">
        <v>41</v>
      </c>
      <c r="E10" s="2" t="s">
        <v>43</v>
      </c>
      <c r="F10" s="11" t="n">
        <v>290</v>
      </c>
    </row>
    <row r="11" customFormat="false" ht="15" hidden="false" customHeight="false" outlineLevel="0" collapsed="false">
      <c r="A11" s="2" t="s">
        <v>4</v>
      </c>
      <c r="B11" s="2" t="s">
        <v>6</v>
      </c>
      <c r="C11" s="2" t="s">
        <v>40</v>
      </c>
      <c r="D11" s="2" t="s">
        <v>41</v>
      </c>
      <c r="E11" s="2" t="s">
        <v>44</v>
      </c>
      <c r="F11" s="11" t="n">
        <v>730</v>
      </c>
    </row>
    <row r="12" customFormat="false" ht="15" hidden="false" customHeight="false" outlineLevel="0" collapsed="false">
      <c r="A12" s="2" t="s">
        <v>4</v>
      </c>
      <c r="B12" s="2" t="s">
        <v>6</v>
      </c>
      <c r="C12" s="2" t="s">
        <v>45</v>
      </c>
      <c r="D12" s="2" t="s">
        <v>46</v>
      </c>
      <c r="E12" s="2" t="s">
        <v>47</v>
      </c>
      <c r="F12" s="11" t="n">
        <v>586</v>
      </c>
    </row>
    <row r="13" customFormat="false" ht="15" hidden="false" customHeight="false" outlineLevel="0" collapsed="false">
      <c r="A13" s="2" t="s">
        <v>4</v>
      </c>
      <c r="B13" s="2" t="s">
        <v>6</v>
      </c>
      <c r="C13" s="2" t="s">
        <v>45</v>
      </c>
      <c r="D13" s="2" t="s">
        <v>46</v>
      </c>
      <c r="E13" s="2" t="s">
        <v>48</v>
      </c>
      <c r="F13" s="11" t="n">
        <v>585</v>
      </c>
    </row>
    <row r="14" customFormat="false" ht="15" hidden="false" customHeight="false" outlineLevel="0" collapsed="false">
      <c r="A14" s="2" t="s">
        <v>4</v>
      </c>
      <c r="B14" s="2" t="s">
        <v>6</v>
      </c>
      <c r="C14" s="2" t="s">
        <v>45</v>
      </c>
      <c r="D14" s="2" t="s">
        <v>46</v>
      </c>
      <c r="E14" s="2" t="s">
        <v>49</v>
      </c>
      <c r="F14" s="11" t="n">
        <v>490</v>
      </c>
    </row>
    <row r="15" customFormat="false" ht="15" hidden="false" customHeight="false" outlineLevel="0" collapsed="false">
      <c r="A15" s="2" t="s">
        <v>4</v>
      </c>
      <c r="B15" s="2" t="s">
        <v>6</v>
      </c>
      <c r="C15" s="2" t="s">
        <v>45</v>
      </c>
      <c r="D15" s="2" t="s">
        <v>46</v>
      </c>
      <c r="E15" s="2" t="s">
        <v>50</v>
      </c>
      <c r="F15" s="11" t="n">
        <v>600</v>
      </c>
    </row>
    <row r="16" customFormat="false" ht="15" hidden="false" customHeight="false" outlineLevel="0" collapsed="false">
      <c r="A16" s="2" t="s">
        <v>4</v>
      </c>
      <c r="B16" s="2" t="s">
        <v>6</v>
      </c>
      <c r="C16" s="2" t="s">
        <v>51</v>
      </c>
      <c r="D16" s="2" t="s">
        <v>52</v>
      </c>
      <c r="E16" s="2" t="s">
        <v>53</v>
      </c>
      <c r="F16" s="11" t="n">
        <v>408</v>
      </c>
    </row>
    <row r="17" customFormat="false" ht="15" hidden="false" customHeight="false" outlineLevel="0" collapsed="false">
      <c r="A17" s="2" t="s">
        <v>4</v>
      </c>
      <c r="B17" s="2" t="s">
        <v>6</v>
      </c>
      <c r="C17" s="2" t="s">
        <v>51</v>
      </c>
      <c r="D17" s="2" t="s">
        <v>52</v>
      </c>
      <c r="E17" s="2" t="s">
        <v>54</v>
      </c>
      <c r="F17" s="11" t="n">
        <v>540</v>
      </c>
    </row>
    <row r="18" customFormat="false" ht="15" hidden="false" customHeight="false" outlineLevel="0" collapsed="false">
      <c r="A18" s="2" t="s">
        <v>4</v>
      </c>
      <c r="B18" s="2" t="s">
        <v>6</v>
      </c>
      <c r="C18" s="2" t="s">
        <v>51</v>
      </c>
      <c r="D18" s="2" t="s">
        <v>52</v>
      </c>
      <c r="E18" s="2" t="s">
        <v>55</v>
      </c>
      <c r="F18" s="11" t="n">
        <v>620</v>
      </c>
    </row>
    <row r="19" customFormat="false" ht="15" hidden="false" customHeight="false" outlineLevel="0" collapsed="false">
      <c r="A19" s="2" t="s">
        <v>4</v>
      </c>
      <c r="B19" s="2" t="s">
        <v>6</v>
      </c>
      <c r="C19" s="2" t="s">
        <v>51</v>
      </c>
      <c r="D19" s="2" t="s">
        <v>52</v>
      </c>
      <c r="E19" s="2" t="s">
        <v>56</v>
      </c>
      <c r="F19" s="11" t="n">
        <v>915</v>
      </c>
    </row>
    <row r="20" customFormat="false" ht="15" hidden="false" customHeight="false" outlineLevel="0" collapsed="false">
      <c r="A20" s="2" t="s">
        <v>4</v>
      </c>
      <c r="B20" s="2" t="s">
        <v>6</v>
      </c>
      <c r="C20" s="2" t="s">
        <v>57</v>
      </c>
      <c r="D20" s="2" t="s">
        <v>58</v>
      </c>
      <c r="E20" s="2" t="s">
        <v>59</v>
      </c>
      <c r="F20" s="11" t="n">
        <v>590</v>
      </c>
    </row>
    <row r="21" customFormat="false" ht="15" hidden="false" customHeight="false" outlineLevel="0" collapsed="false">
      <c r="A21" s="2" t="s">
        <v>4</v>
      </c>
      <c r="B21" s="2" t="s">
        <v>6</v>
      </c>
      <c r="C21" s="2" t="s">
        <v>57</v>
      </c>
      <c r="D21" s="2" t="s">
        <v>58</v>
      </c>
      <c r="E21" s="2" t="s">
        <v>60</v>
      </c>
      <c r="F21" s="11" t="n">
        <v>705</v>
      </c>
    </row>
    <row r="22" customFormat="false" ht="15" hidden="false" customHeight="false" outlineLevel="0" collapsed="false">
      <c r="A22" s="2" t="s">
        <v>4</v>
      </c>
      <c r="B22" s="2" t="s">
        <v>6</v>
      </c>
      <c r="C22" s="2" t="s">
        <v>57</v>
      </c>
      <c r="D22" s="2" t="s">
        <v>58</v>
      </c>
      <c r="E22" s="2" t="s">
        <v>61</v>
      </c>
      <c r="F22" s="11" t="n">
        <v>650</v>
      </c>
    </row>
    <row r="23" customFormat="false" ht="15" hidden="false" customHeight="false" outlineLevel="0" collapsed="false">
      <c r="A23" s="2" t="s">
        <v>4</v>
      </c>
      <c r="B23" s="2" t="s">
        <v>6</v>
      </c>
      <c r="C23" s="2" t="s">
        <v>57</v>
      </c>
      <c r="D23" s="2" t="s">
        <v>58</v>
      </c>
      <c r="E23" s="2" t="s">
        <v>62</v>
      </c>
      <c r="F23" s="11" t="n">
        <v>1050</v>
      </c>
    </row>
    <row r="24" customFormat="false" ht="15" hidden="false" customHeight="false" outlineLevel="0" collapsed="false">
      <c r="A24" s="2" t="s">
        <v>4</v>
      </c>
      <c r="B24" s="2" t="s">
        <v>6</v>
      </c>
      <c r="C24" s="2" t="s">
        <v>7</v>
      </c>
      <c r="D24" s="2" t="s">
        <v>63</v>
      </c>
      <c r="E24" s="2" t="s">
        <v>9</v>
      </c>
      <c r="F24" s="11" t="n">
        <v>1110</v>
      </c>
    </row>
    <row r="25" customFormat="false" ht="15" hidden="false" customHeight="false" outlineLevel="0" collapsed="false">
      <c r="A25" s="2" t="s">
        <v>4</v>
      </c>
      <c r="B25" s="2" t="s">
        <v>6</v>
      </c>
      <c r="C25" s="2" t="s">
        <v>7</v>
      </c>
      <c r="D25" s="2" t="s">
        <v>63</v>
      </c>
      <c r="E25" s="2" t="s">
        <v>64</v>
      </c>
      <c r="F25" s="11" t="n">
        <v>1170</v>
      </c>
    </row>
    <row r="26" customFormat="false" ht="15" hidden="false" customHeight="false" outlineLevel="0" collapsed="false">
      <c r="A26" s="2" t="s">
        <v>4</v>
      </c>
      <c r="B26" s="2" t="s">
        <v>6</v>
      </c>
      <c r="C26" s="2" t="s">
        <v>7</v>
      </c>
      <c r="D26" s="2" t="s">
        <v>63</v>
      </c>
      <c r="E26" s="2" t="s">
        <v>65</v>
      </c>
      <c r="F26" s="11" t="n">
        <v>1330</v>
      </c>
    </row>
    <row r="27" customFormat="false" ht="15" hidden="false" customHeight="false" outlineLevel="0" collapsed="false">
      <c r="A27" s="2" t="s">
        <v>4</v>
      </c>
      <c r="B27" s="2" t="s">
        <v>6</v>
      </c>
      <c r="C27" s="2" t="s">
        <v>7</v>
      </c>
      <c r="D27" s="2" t="s">
        <v>63</v>
      </c>
      <c r="E27" s="2" t="s">
        <v>66</v>
      </c>
      <c r="F27" s="11" t="n">
        <v>1290</v>
      </c>
    </row>
    <row r="28" customFormat="false" ht="15" hidden="false" customHeight="false" outlineLevel="0" collapsed="false">
      <c r="A28" s="2" t="s">
        <v>4</v>
      </c>
      <c r="B28" s="2" t="s">
        <v>6</v>
      </c>
      <c r="C28" s="2" t="s">
        <v>67</v>
      </c>
      <c r="D28" s="2" t="s">
        <v>68</v>
      </c>
      <c r="E28" s="2" t="s">
        <v>69</v>
      </c>
      <c r="F28" s="11" t="n">
        <v>1960</v>
      </c>
    </row>
    <row r="29" customFormat="false" ht="15" hidden="false" customHeight="false" outlineLevel="0" collapsed="false">
      <c r="A29" s="2" t="s">
        <v>4</v>
      </c>
      <c r="B29" s="2" t="s">
        <v>6</v>
      </c>
      <c r="C29" s="2" t="s">
        <v>67</v>
      </c>
      <c r="D29" s="2" t="s">
        <v>68</v>
      </c>
      <c r="E29" s="2" t="s">
        <v>70</v>
      </c>
      <c r="F29" s="11" t="n">
        <v>1890</v>
      </c>
    </row>
    <row r="30" customFormat="false" ht="15" hidden="false" customHeight="false" outlineLevel="0" collapsed="false">
      <c r="A30" s="2" t="s">
        <v>4</v>
      </c>
      <c r="B30" s="2" t="s">
        <v>6</v>
      </c>
      <c r="C30" s="2" t="s">
        <v>67</v>
      </c>
      <c r="D30" s="2" t="s">
        <v>68</v>
      </c>
      <c r="E30" s="2" t="s">
        <v>71</v>
      </c>
      <c r="F30" s="11" t="n">
        <v>1470</v>
      </c>
    </row>
    <row r="31" customFormat="false" ht="15" hidden="false" customHeight="false" outlineLevel="0" collapsed="false">
      <c r="A31" s="2" t="s">
        <v>4</v>
      </c>
      <c r="B31" s="2" t="s">
        <v>6</v>
      </c>
      <c r="C31" s="2" t="s">
        <v>72</v>
      </c>
      <c r="D31" s="2" t="s">
        <v>73</v>
      </c>
      <c r="E31" s="2" t="s">
        <v>74</v>
      </c>
      <c r="F31" s="11" t="n">
        <v>930</v>
      </c>
    </row>
    <row r="32" customFormat="false" ht="15" hidden="false" customHeight="false" outlineLevel="0" collapsed="false">
      <c r="A32" s="2" t="s">
        <v>4</v>
      </c>
      <c r="B32" s="2" t="s">
        <v>6</v>
      </c>
      <c r="C32" s="2" t="s">
        <v>72</v>
      </c>
      <c r="D32" s="2" t="s">
        <v>73</v>
      </c>
      <c r="E32" s="2" t="s">
        <v>75</v>
      </c>
      <c r="F32" s="11" t="n">
        <v>980</v>
      </c>
    </row>
    <row r="33" customFormat="false" ht="15" hidden="false" customHeight="false" outlineLevel="0" collapsed="false">
      <c r="A33" s="2" t="s">
        <v>4</v>
      </c>
      <c r="B33" s="2" t="s">
        <v>6</v>
      </c>
      <c r="C33" s="2" t="s">
        <v>72</v>
      </c>
      <c r="D33" s="2" t="s">
        <v>73</v>
      </c>
      <c r="E33" s="2" t="s">
        <v>76</v>
      </c>
      <c r="F33" s="11" t="n">
        <v>880</v>
      </c>
    </row>
    <row r="34" customFormat="false" ht="15" hidden="false" customHeight="false" outlineLevel="0" collapsed="false">
      <c r="A34" s="2" t="s">
        <v>4</v>
      </c>
      <c r="B34" s="2" t="s">
        <v>6</v>
      </c>
      <c r="C34" s="2" t="s">
        <v>77</v>
      </c>
      <c r="D34" s="2" t="s">
        <v>78</v>
      </c>
      <c r="E34" s="2" t="s">
        <v>79</v>
      </c>
      <c r="F34" s="11" t="n">
        <v>2660</v>
      </c>
    </row>
    <row r="35" customFormat="false" ht="15" hidden="false" customHeight="false" outlineLevel="0" collapsed="false">
      <c r="A35" s="2" t="s">
        <v>4</v>
      </c>
      <c r="B35" s="2" t="s">
        <v>6</v>
      </c>
      <c r="C35" s="2" t="s">
        <v>77</v>
      </c>
      <c r="D35" s="2" t="s">
        <v>78</v>
      </c>
      <c r="E35" s="2" t="s">
        <v>80</v>
      </c>
      <c r="F35" s="11" t="n">
        <v>2550</v>
      </c>
    </row>
    <row r="36" customFormat="false" ht="15" hidden="false" customHeight="false" outlineLevel="0" collapsed="false">
      <c r="A36" s="2" t="s">
        <v>4</v>
      </c>
      <c r="B36" s="2" t="s">
        <v>6</v>
      </c>
      <c r="C36" s="2" t="s">
        <v>77</v>
      </c>
      <c r="D36" s="2" t="s">
        <v>78</v>
      </c>
      <c r="E36" s="2" t="s">
        <v>81</v>
      </c>
      <c r="F36" s="11" t="n">
        <v>2180</v>
      </c>
    </row>
    <row r="37" customFormat="false" ht="15" hidden="false" customHeight="false" outlineLevel="0" collapsed="false">
      <c r="A37" s="2" t="s">
        <v>4</v>
      </c>
      <c r="B37" s="2" t="s">
        <v>6</v>
      </c>
      <c r="C37" s="2" t="s">
        <v>82</v>
      </c>
      <c r="D37" s="2" t="s">
        <v>83</v>
      </c>
      <c r="E37" s="2" t="s">
        <v>84</v>
      </c>
      <c r="F37" s="11" t="n">
        <v>3120</v>
      </c>
    </row>
    <row r="38" customFormat="false" ht="15" hidden="false" customHeight="false" outlineLevel="0" collapsed="false">
      <c r="A38" s="2" t="s">
        <v>4</v>
      </c>
      <c r="B38" s="2" t="s">
        <v>6</v>
      </c>
      <c r="C38" s="2" t="s">
        <v>82</v>
      </c>
      <c r="D38" s="2" t="s">
        <v>83</v>
      </c>
      <c r="E38" s="2" t="s">
        <v>85</v>
      </c>
      <c r="F38" s="11" t="n">
        <v>2800</v>
      </c>
    </row>
    <row r="39" customFormat="false" ht="15" hidden="false" customHeight="false" outlineLevel="0" collapsed="false">
      <c r="A39" s="2" t="s">
        <v>4</v>
      </c>
      <c r="B39" s="2" t="s">
        <v>6</v>
      </c>
      <c r="C39" s="2" t="s">
        <v>82</v>
      </c>
      <c r="D39" s="2" t="s">
        <v>83</v>
      </c>
      <c r="E39" s="2" t="s">
        <v>86</v>
      </c>
      <c r="F39" s="11" t="n">
        <v>3300</v>
      </c>
    </row>
    <row r="40" customFormat="false" ht="15" hidden="false" customHeight="false" outlineLevel="0" collapsed="false">
      <c r="A40" s="2" t="s">
        <v>7</v>
      </c>
      <c r="B40" s="2" t="s">
        <v>9</v>
      </c>
      <c r="C40" s="2" t="s">
        <v>4</v>
      </c>
      <c r="D40" s="2" t="s">
        <v>6</v>
      </c>
      <c r="E40" s="2" t="s">
        <v>6</v>
      </c>
      <c r="F40" s="11" t="n">
        <v>1110</v>
      </c>
    </row>
    <row r="41" customFormat="false" ht="15" hidden="false" customHeight="false" outlineLevel="0" collapsed="false">
      <c r="A41" s="2" t="s">
        <v>7</v>
      </c>
      <c r="B41" s="2" t="s">
        <v>9</v>
      </c>
      <c r="C41" s="2" t="s">
        <v>4</v>
      </c>
      <c r="D41" s="2" t="s">
        <v>6</v>
      </c>
      <c r="E41" s="2" t="s">
        <v>35</v>
      </c>
      <c r="F41" s="11" t="n">
        <v>1170</v>
      </c>
    </row>
    <row r="42" customFormat="false" ht="15" hidden="false" customHeight="false" outlineLevel="0" collapsed="false">
      <c r="A42" s="2" t="s">
        <v>7</v>
      </c>
      <c r="B42" s="2" t="s">
        <v>9</v>
      </c>
      <c r="C42" s="2" t="s">
        <v>4</v>
      </c>
      <c r="D42" s="2" t="s">
        <v>6</v>
      </c>
      <c r="E42" s="2" t="s">
        <v>36</v>
      </c>
      <c r="F42" s="11" t="n">
        <v>1390</v>
      </c>
    </row>
    <row r="43" customFormat="false" ht="15" hidden="false" customHeight="false" outlineLevel="0" collapsed="false">
      <c r="A43" s="2" t="s">
        <v>7</v>
      </c>
      <c r="B43" s="2" t="s">
        <v>9</v>
      </c>
      <c r="C43" s="2" t="s">
        <v>4</v>
      </c>
      <c r="D43" s="2" t="s">
        <v>6</v>
      </c>
      <c r="E43" s="2" t="s">
        <v>37</v>
      </c>
      <c r="F43" s="11" t="n">
        <v>1180</v>
      </c>
    </row>
    <row r="44" customFormat="false" ht="15" hidden="false" customHeight="false" outlineLevel="0" collapsed="false">
      <c r="A44" s="2" t="s">
        <v>7</v>
      </c>
      <c r="B44" s="2" t="s">
        <v>9</v>
      </c>
      <c r="C44" s="2" t="s">
        <v>4</v>
      </c>
      <c r="D44" s="2" t="s">
        <v>6</v>
      </c>
      <c r="E44" s="2" t="s">
        <v>38</v>
      </c>
      <c r="F44" s="11" t="n">
        <v>1100</v>
      </c>
    </row>
    <row r="45" customFormat="false" ht="15" hidden="false" customHeight="false" outlineLevel="0" collapsed="false">
      <c r="A45" s="2" t="s">
        <v>7</v>
      </c>
      <c r="B45" s="2" t="s">
        <v>9</v>
      </c>
      <c r="C45" s="2" t="s">
        <v>4</v>
      </c>
      <c r="D45" s="2" t="s">
        <v>6</v>
      </c>
      <c r="E45" s="2" t="s">
        <v>39</v>
      </c>
      <c r="F45" s="11" t="n">
        <v>1210</v>
      </c>
    </row>
    <row r="46" customFormat="false" ht="15" hidden="false" customHeight="false" outlineLevel="0" collapsed="false">
      <c r="A46" s="2" t="s">
        <v>7</v>
      </c>
      <c r="B46" s="2" t="s">
        <v>9</v>
      </c>
      <c r="C46" s="2" t="s">
        <v>40</v>
      </c>
      <c r="D46" s="2" t="s">
        <v>41</v>
      </c>
      <c r="E46" s="2" t="s">
        <v>41</v>
      </c>
      <c r="F46" s="11" t="n">
        <v>1550</v>
      </c>
    </row>
    <row r="47" customFormat="false" ht="15" hidden="false" customHeight="false" outlineLevel="0" collapsed="false">
      <c r="A47" s="2" t="s">
        <v>7</v>
      </c>
      <c r="B47" s="2" t="s">
        <v>9</v>
      </c>
      <c r="C47" s="2" t="s">
        <v>40</v>
      </c>
      <c r="D47" s="2" t="s">
        <v>41</v>
      </c>
      <c r="E47" s="2" t="s">
        <v>42</v>
      </c>
      <c r="F47" s="11" t="n">
        <v>1570</v>
      </c>
    </row>
    <row r="48" customFormat="false" ht="15" hidden="false" customHeight="false" outlineLevel="0" collapsed="false">
      <c r="A48" s="2" t="s">
        <v>7</v>
      </c>
      <c r="B48" s="2" t="s">
        <v>9</v>
      </c>
      <c r="C48" s="2" t="s">
        <v>40</v>
      </c>
      <c r="D48" s="2" t="s">
        <v>41</v>
      </c>
      <c r="E48" s="2" t="s">
        <v>43</v>
      </c>
      <c r="F48" s="11" t="n">
        <v>1400</v>
      </c>
    </row>
    <row r="49" customFormat="false" ht="15" hidden="false" customHeight="false" outlineLevel="0" collapsed="false">
      <c r="A49" s="2" t="s">
        <v>7</v>
      </c>
      <c r="B49" s="2" t="s">
        <v>9</v>
      </c>
      <c r="C49" s="2" t="s">
        <v>40</v>
      </c>
      <c r="D49" s="2" t="s">
        <v>41</v>
      </c>
      <c r="E49" s="2" t="s">
        <v>44</v>
      </c>
      <c r="F49" s="11" t="n">
        <v>1830</v>
      </c>
    </row>
    <row r="50" customFormat="false" ht="15" hidden="false" customHeight="false" outlineLevel="0" collapsed="false">
      <c r="A50" s="2" t="s">
        <v>7</v>
      </c>
      <c r="B50" s="2" t="s">
        <v>9</v>
      </c>
      <c r="C50" s="2" t="s">
        <v>45</v>
      </c>
      <c r="D50" s="2" t="s">
        <v>46</v>
      </c>
      <c r="E50" s="2" t="s">
        <v>47</v>
      </c>
      <c r="F50" s="11" t="n">
        <v>1700</v>
      </c>
    </row>
    <row r="51" customFormat="false" ht="15" hidden="false" customHeight="false" outlineLevel="0" collapsed="false">
      <c r="A51" s="2" t="s">
        <v>7</v>
      </c>
      <c r="B51" s="2" t="s">
        <v>9</v>
      </c>
      <c r="C51" s="2" t="s">
        <v>45</v>
      </c>
      <c r="D51" s="2" t="s">
        <v>46</v>
      </c>
      <c r="E51" s="2" t="s">
        <v>48</v>
      </c>
      <c r="F51" s="11" t="n">
        <v>1670</v>
      </c>
    </row>
    <row r="52" customFormat="false" ht="15" hidden="false" customHeight="false" outlineLevel="0" collapsed="false">
      <c r="A52" s="2" t="s">
        <v>7</v>
      </c>
      <c r="B52" s="2" t="s">
        <v>9</v>
      </c>
      <c r="C52" s="2" t="s">
        <v>45</v>
      </c>
      <c r="D52" s="2" t="s">
        <v>46</v>
      </c>
      <c r="E52" s="2" t="s">
        <v>49</v>
      </c>
      <c r="F52" s="11" t="n">
        <v>1600</v>
      </c>
    </row>
    <row r="53" customFormat="false" ht="15" hidden="false" customHeight="false" outlineLevel="0" collapsed="false">
      <c r="A53" s="2" t="s">
        <v>7</v>
      </c>
      <c r="B53" s="2" t="s">
        <v>9</v>
      </c>
      <c r="C53" s="2" t="s">
        <v>45</v>
      </c>
      <c r="D53" s="2" t="s">
        <v>46</v>
      </c>
      <c r="E53" s="2" t="s">
        <v>50</v>
      </c>
      <c r="F53" s="11" t="n">
        <v>1715</v>
      </c>
    </row>
    <row r="54" customFormat="false" ht="15" hidden="false" customHeight="false" outlineLevel="0" collapsed="false">
      <c r="A54" s="2" t="s">
        <v>7</v>
      </c>
      <c r="B54" s="2" t="s">
        <v>9</v>
      </c>
      <c r="C54" s="2" t="s">
        <v>51</v>
      </c>
      <c r="D54" s="2" t="s">
        <v>52</v>
      </c>
      <c r="E54" s="2" t="s">
        <v>53</v>
      </c>
      <c r="F54" s="11" t="n">
        <v>710</v>
      </c>
    </row>
    <row r="55" customFormat="false" ht="15" hidden="false" customHeight="false" outlineLevel="0" collapsed="false">
      <c r="A55" s="2" t="s">
        <v>7</v>
      </c>
      <c r="B55" s="2" t="s">
        <v>9</v>
      </c>
      <c r="C55" s="2" t="s">
        <v>51</v>
      </c>
      <c r="D55" s="2" t="s">
        <v>52</v>
      </c>
      <c r="E55" s="2" t="s">
        <v>54</v>
      </c>
      <c r="F55" s="11" t="n">
        <v>1100</v>
      </c>
    </row>
    <row r="56" customFormat="false" ht="15" hidden="false" customHeight="false" outlineLevel="0" collapsed="false">
      <c r="A56" s="2" t="s">
        <v>7</v>
      </c>
      <c r="B56" s="2" t="s">
        <v>9</v>
      </c>
      <c r="C56" s="2" t="s">
        <v>51</v>
      </c>
      <c r="D56" s="2" t="s">
        <v>52</v>
      </c>
      <c r="E56" s="2" t="s">
        <v>55</v>
      </c>
      <c r="F56" s="11" t="n">
        <v>1160</v>
      </c>
    </row>
    <row r="57" customFormat="false" ht="15" hidden="false" customHeight="false" outlineLevel="0" collapsed="false">
      <c r="A57" s="2" t="s">
        <v>7</v>
      </c>
      <c r="B57" s="2" t="s">
        <v>9</v>
      </c>
      <c r="C57" s="2" t="s">
        <v>51</v>
      </c>
      <c r="D57" s="2" t="s">
        <v>52</v>
      </c>
      <c r="E57" s="2" t="s">
        <v>56</v>
      </c>
      <c r="F57" s="11" t="n">
        <v>890</v>
      </c>
    </row>
    <row r="58" customFormat="false" ht="15" hidden="false" customHeight="false" outlineLevel="0" collapsed="false">
      <c r="A58" s="2" t="s">
        <v>7</v>
      </c>
      <c r="B58" s="2" t="s">
        <v>9</v>
      </c>
      <c r="C58" s="2" t="s">
        <v>57</v>
      </c>
      <c r="D58" s="2" t="s">
        <v>58</v>
      </c>
      <c r="E58" s="2" t="s">
        <v>59</v>
      </c>
      <c r="F58" s="11" t="n">
        <v>650</v>
      </c>
    </row>
    <row r="59" customFormat="false" ht="15" hidden="false" customHeight="false" outlineLevel="0" collapsed="false">
      <c r="A59" s="2" t="s">
        <v>7</v>
      </c>
      <c r="B59" s="2" t="s">
        <v>9</v>
      </c>
      <c r="C59" s="2" t="s">
        <v>57</v>
      </c>
      <c r="D59" s="2" t="s">
        <v>58</v>
      </c>
      <c r="E59" s="2" t="s">
        <v>60</v>
      </c>
      <c r="F59" s="11" t="n">
        <v>475</v>
      </c>
    </row>
    <row r="60" customFormat="false" ht="15" hidden="false" customHeight="false" outlineLevel="0" collapsed="false">
      <c r="A60" s="2" t="s">
        <v>7</v>
      </c>
      <c r="B60" s="2" t="s">
        <v>9</v>
      </c>
      <c r="C60" s="2" t="s">
        <v>57</v>
      </c>
      <c r="D60" s="2" t="s">
        <v>58</v>
      </c>
      <c r="E60" s="2" t="s">
        <v>61</v>
      </c>
      <c r="F60" s="11" t="n">
        <v>570</v>
      </c>
    </row>
    <row r="61" customFormat="false" ht="15" hidden="false" customHeight="false" outlineLevel="0" collapsed="false">
      <c r="A61" s="2" t="s">
        <v>7</v>
      </c>
      <c r="B61" s="2" t="s">
        <v>9</v>
      </c>
      <c r="C61" s="2" t="s">
        <v>57</v>
      </c>
      <c r="D61" s="2" t="s">
        <v>58</v>
      </c>
      <c r="E61" s="2" t="s">
        <v>62</v>
      </c>
      <c r="F61" s="11" t="n">
        <v>620</v>
      </c>
    </row>
    <row r="62" customFormat="false" ht="15" hidden="false" customHeight="false" outlineLevel="0" collapsed="false">
      <c r="A62" s="2" t="s">
        <v>7</v>
      </c>
      <c r="B62" s="2" t="s">
        <v>9</v>
      </c>
      <c r="C62" s="2" t="s">
        <v>7</v>
      </c>
      <c r="D62" s="2" t="s">
        <v>63</v>
      </c>
      <c r="E62" s="2" t="s">
        <v>9</v>
      </c>
      <c r="F62" s="11" t="n">
        <v>20</v>
      </c>
    </row>
    <row r="63" customFormat="false" ht="15" hidden="false" customHeight="false" outlineLevel="0" collapsed="false">
      <c r="A63" s="2" t="s">
        <v>7</v>
      </c>
      <c r="B63" s="2" t="s">
        <v>9</v>
      </c>
      <c r="C63" s="2" t="s">
        <v>7</v>
      </c>
      <c r="D63" s="2" t="s">
        <v>63</v>
      </c>
      <c r="E63" s="2" t="s">
        <v>64</v>
      </c>
      <c r="F63" s="11" t="n">
        <v>130</v>
      </c>
    </row>
    <row r="64" customFormat="false" ht="15" hidden="false" customHeight="false" outlineLevel="0" collapsed="false">
      <c r="A64" s="2" t="s">
        <v>7</v>
      </c>
      <c r="B64" s="2" t="s">
        <v>9</v>
      </c>
      <c r="C64" s="2" t="s">
        <v>7</v>
      </c>
      <c r="D64" s="2" t="s">
        <v>63</v>
      </c>
      <c r="E64" s="2" t="s">
        <v>65</v>
      </c>
      <c r="F64" s="11" t="n">
        <v>250</v>
      </c>
    </row>
    <row r="65" customFormat="false" ht="15" hidden="false" customHeight="false" outlineLevel="0" collapsed="false">
      <c r="A65" s="2" t="s">
        <v>7</v>
      </c>
      <c r="B65" s="2" t="s">
        <v>9</v>
      </c>
      <c r="C65" s="2" t="s">
        <v>7</v>
      </c>
      <c r="D65" s="2" t="s">
        <v>63</v>
      </c>
      <c r="E65" s="2" t="s">
        <v>66</v>
      </c>
      <c r="F65" s="11" t="n">
        <v>290</v>
      </c>
    </row>
    <row r="66" customFormat="false" ht="15" hidden="false" customHeight="false" outlineLevel="0" collapsed="false">
      <c r="A66" s="2" t="s">
        <v>7</v>
      </c>
      <c r="B66" s="2" t="s">
        <v>9</v>
      </c>
      <c r="C66" s="2" t="s">
        <v>67</v>
      </c>
      <c r="D66" s="2" t="s">
        <v>68</v>
      </c>
      <c r="E66" s="2" t="s">
        <v>69</v>
      </c>
      <c r="F66" s="11" t="n">
        <v>3070</v>
      </c>
    </row>
    <row r="67" customFormat="false" ht="15" hidden="false" customHeight="false" outlineLevel="0" collapsed="false">
      <c r="A67" s="2" t="s">
        <v>7</v>
      </c>
      <c r="B67" s="2" t="s">
        <v>9</v>
      </c>
      <c r="C67" s="2" t="s">
        <v>67</v>
      </c>
      <c r="D67" s="2" t="s">
        <v>68</v>
      </c>
      <c r="E67" s="2" t="s">
        <v>70</v>
      </c>
      <c r="F67" s="11" t="n">
        <v>3000</v>
      </c>
    </row>
    <row r="68" customFormat="false" ht="15" hidden="false" customHeight="false" outlineLevel="0" collapsed="false">
      <c r="A68" s="2" t="s">
        <v>7</v>
      </c>
      <c r="B68" s="2" t="s">
        <v>9</v>
      </c>
      <c r="C68" s="2" t="s">
        <v>67</v>
      </c>
      <c r="D68" s="2" t="s">
        <v>68</v>
      </c>
      <c r="E68" s="2" t="s">
        <v>71</v>
      </c>
      <c r="F68" s="11" t="n">
        <v>2560</v>
      </c>
    </row>
    <row r="69" customFormat="false" ht="15" hidden="false" customHeight="false" outlineLevel="0" collapsed="false">
      <c r="A69" s="2" t="s">
        <v>7</v>
      </c>
      <c r="B69" s="2" t="s">
        <v>9</v>
      </c>
      <c r="C69" s="2" t="s">
        <v>72</v>
      </c>
      <c r="D69" s="2" t="s">
        <v>73</v>
      </c>
      <c r="E69" s="2" t="s">
        <v>74</v>
      </c>
      <c r="F69" s="11" t="n">
        <v>1980</v>
      </c>
    </row>
    <row r="70" customFormat="false" ht="15" hidden="false" customHeight="false" outlineLevel="0" collapsed="false">
      <c r="A70" s="2" t="s">
        <v>7</v>
      </c>
      <c r="B70" s="2" t="s">
        <v>9</v>
      </c>
      <c r="C70" s="2" t="s">
        <v>72</v>
      </c>
      <c r="D70" s="2" t="s">
        <v>73</v>
      </c>
      <c r="E70" s="2" t="s">
        <v>75</v>
      </c>
      <c r="F70" s="11" t="n">
        <v>2040</v>
      </c>
    </row>
    <row r="71" customFormat="false" ht="15" hidden="false" customHeight="false" outlineLevel="0" collapsed="false">
      <c r="A71" s="2" t="s">
        <v>7</v>
      </c>
      <c r="B71" s="2" t="s">
        <v>9</v>
      </c>
      <c r="C71" s="2" t="s">
        <v>72</v>
      </c>
      <c r="D71" s="2" t="s">
        <v>73</v>
      </c>
      <c r="E71" s="2" t="s">
        <v>76</v>
      </c>
      <c r="F71" s="11" t="n">
        <v>1900</v>
      </c>
    </row>
    <row r="72" customFormat="false" ht="15" hidden="false" customHeight="false" outlineLevel="0" collapsed="false">
      <c r="A72" s="2" t="s">
        <v>7</v>
      </c>
      <c r="B72" s="2" t="s">
        <v>9</v>
      </c>
      <c r="C72" s="2" t="s">
        <v>77</v>
      </c>
      <c r="D72" s="2" t="s">
        <v>78</v>
      </c>
      <c r="E72" s="2" t="s">
        <v>79</v>
      </c>
      <c r="F72" s="11" t="n">
        <v>3740</v>
      </c>
    </row>
    <row r="73" customFormat="false" ht="15" hidden="false" customHeight="false" outlineLevel="0" collapsed="false">
      <c r="A73" s="2" t="s">
        <v>7</v>
      </c>
      <c r="B73" s="2" t="s">
        <v>9</v>
      </c>
      <c r="C73" s="2" t="s">
        <v>77</v>
      </c>
      <c r="D73" s="2" t="s">
        <v>78</v>
      </c>
      <c r="E73" s="2" t="s">
        <v>80</v>
      </c>
      <c r="F73" s="11" t="n">
        <v>3620</v>
      </c>
    </row>
    <row r="74" customFormat="false" ht="15" hidden="false" customHeight="false" outlineLevel="0" collapsed="false">
      <c r="A74" s="2" t="s">
        <v>7</v>
      </c>
      <c r="B74" s="2" t="s">
        <v>9</v>
      </c>
      <c r="C74" s="2" t="s">
        <v>77</v>
      </c>
      <c r="D74" s="2" t="s">
        <v>78</v>
      </c>
      <c r="E74" s="2" t="s">
        <v>81</v>
      </c>
      <c r="F74" s="11" t="n">
        <v>3280</v>
      </c>
    </row>
    <row r="75" customFormat="false" ht="15" hidden="false" customHeight="false" outlineLevel="0" collapsed="false">
      <c r="A75" s="2" t="s">
        <v>7</v>
      </c>
      <c r="B75" s="2" t="s">
        <v>9</v>
      </c>
      <c r="C75" s="2" t="s">
        <v>82</v>
      </c>
      <c r="D75" s="2" t="s">
        <v>83</v>
      </c>
      <c r="E75" s="2" t="s">
        <v>84</v>
      </c>
      <c r="F75" s="11" t="n">
        <v>4210</v>
      </c>
    </row>
    <row r="76" customFormat="false" ht="15" hidden="false" customHeight="false" outlineLevel="0" collapsed="false">
      <c r="A76" s="2" t="s">
        <v>7</v>
      </c>
      <c r="B76" s="2" t="s">
        <v>9</v>
      </c>
      <c r="C76" s="2" t="s">
        <v>82</v>
      </c>
      <c r="D76" s="2" t="s">
        <v>83</v>
      </c>
      <c r="E76" s="2" t="s">
        <v>85</v>
      </c>
      <c r="F76" s="11" t="n">
        <v>3900</v>
      </c>
    </row>
    <row r="77" customFormat="false" ht="15" hidden="false" customHeight="false" outlineLevel="0" collapsed="false">
      <c r="A77" s="2" t="s">
        <v>7</v>
      </c>
      <c r="B77" s="2" t="s">
        <v>9</v>
      </c>
      <c r="C77" s="2" t="s">
        <v>82</v>
      </c>
      <c r="D77" s="2" t="s">
        <v>83</v>
      </c>
      <c r="E77" s="2" t="s">
        <v>86</v>
      </c>
      <c r="F77" s="11" t="n">
        <v>4400</v>
      </c>
    </row>
  </sheetData>
  <autoFilter ref="A1:F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20"/>
  </cols>
  <sheetData>
    <row r="1" customFormat="false" ht="23.85" hidden="false" customHeight="false" outlineLevel="0" collapsed="false">
      <c r="A1" s="1" t="s">
        <v>0</v>
      </c>
      <c r="B1" s="1" t="s">
        <v>30</v>
      </c>
      <c r="C1" s="1" t="s">
        <v>31</v>
      </c>
      <c r="D1" s="1" t="s">
        <v>32</v>
      </c>
      <c r="E1" s="1" t="s">
        <v>87</v>
      </c>
      <c r="F1" s="1" t="s">
        <v>88</v>
      </c>
    </row>
    <row r="2" customFormat="false" ht="15" hidden="false" customHeight="false" outlineLevel="0" collapsed="false">
      <c r="A2" s="2" t="s">
        <v>4</v>
      </c>
      <c r="B2" s="2" t="s">
        <v>6</v>
      </c>
      <c r="C2" s="2" t="s">
        <v>4</v>
      </c>
      <c r="D2" s="2" t="s">
        <v>6</v>
      </c>
      <c r="E2" s="5" t="n">
        <f aca="false">COUNTIFS(Distancias_Cidades!$A$2:$A$77,$A2,Distancias_Cidades!$C$2:$C$77,$C2)</f>
        <v>6</v>
      </c>
      <c r="F2" s="12" t="n">
        <f aca="false">AVERAGEIFS(Distancias_Cidades!$F$2:$F$77,Distancias_Cidades!$A$2:$A$77,$A2,Distancias_Cidades!$C$2:$C$77,$C2)</f>
        <v>116.166666666667</v>
      </c>
    </row>
    <row r="3" customFormat="false" ht="15" hidden="false" customHeight="false" outlineLevel="0" collapsed="false">
      <c r="A3" s="2" t="s">
        <v>4</v>
      </c>
      <c r="B3" s="2" t="s">
        <v>6</v>
      </c>
      <c r="C3" s="2" t="s">
        <v>40</v>
      </c>
      <c r="D3" s="2" t="s">
        <v>41</v>
      </c>
      <c r="E3" s="5" t="n">
        <f aca="false">COUNTIFS(Distancias_Cidades!$A$2:$A$77,$A3,Distancias_Cidades!$C$2:$C$77,$C3)</f>
        <v>4</v>
      </c>
      <c r="F3" s="12" t="n">
        <f aca="false">AVERAGEIFS(Distancias_Cidades!$F$2:$F$77,Distancias_Cidades!$A$2:$A$77,$A3,Distancias_Cidades!$C$2:$C$77,$C3)</f>
        <v>476.25</v>
      </c>
    </row>
    <row r="4" customFormat="false" ht="15" hidden="false" customHeight="false" outlineLevel="0" collapsed="false">
      <c r="A4" s="2" t="s">
        <v>4</v>
      </c>
      <c r="B4" s="2" t="s">
        <v>6</v>
      </c>
      <c r="C4" s="2" t="s">
        <v>45</v>
      </c>
      <c r="D4" s="2" t="s">
        <v>46</v>
      </c>
      <c r="E4" s="5" t="n">
        <f aca="false">COUNTIFS(Distancias_Cidades!$A$2:$A$77,$A4,Distancias_Cidades!$C$2:$C$77,$C4)</f>
        <v>4</v>
      </c>
      <c r="F4" s="12" t="n">
        <f aca="false">AVERAGEIFS(Distancias_Cidades!$F$2:$F$77,Distancias_Cidades!$A$2:$A$77,$A4,Distancias_Cidades!$C$2:$C$77,$C4)</f>
        <v>565.25</v>
      </c>
    </row>
    <row r="5" customFormat="false" ht="15" hidden="false" customHeight="false" outlineLevel="0" collapsed="false">
      <c r="A5" s="2" t="s">
        <v>4</v>
      </c>
      <c r="B5" s="2" t="s">
        <v>6</v>
      </c>
      <c r="C5" s="2" t="s">
        <v>51</v>
      </c>
      <c r="D5" s="2" t="s">
        <v>52</v>
      </c>
      <c r="E5" s="5" t="n">
        <f aca="false">COUNTIFS(Distancias_Cidades!$A$2:$A$77,$A5,Distancias_Cidades!$C$2:$C$77,$C5)</f>
        <v>4</v>
      </c>
      <c r="F5" s="12" t="n">
        <f aca="false">AVERAGEIFS(Distancias_Cidades!$F$2:$F$77,Distancias_Cidades!$A$2:$A$77,$A5,Distancias_Cidades!$C$2:$C$77,$C5)</f>
        <v>620.75</v>
      </c>
    </row>
    <row r="6" customFormat="false" ht="15" hidden="false" customHeight="false" outlineLevel="0" collapsed="false">
      <c r="A6" s="2" t="s">
        <v>4</v>
      </c>
      <c r="B6" s="2" t="s">
        <v>6</v>
      </c>
      <c r="C6" s="2" t="s">
        <v>57</v>
      </c>
      <c r="D6" s="2" t="s">
        <v>58</v>
      </c>
      <c r="E6" s="5" t="n">
        <f aca="false">COUNTIFS(Distancias_Cidades!$A$2:$A$77,$A6,Distancias_Cidades!$C$2:$C$77,$C6)</f>
        <v>4</v>
      </c>
      <c r="F6" s="12" t="n">
        <f aca="false">AVERAGEIFS(Distancias_Cidades!$F$2:$F$77,Distancias_Cidades!$A$2:$A$77,$A6,Distancias_Cidades!$C$2:$C$77,$C6)</f>
        <v>748.75</v>
      </c>
    </row>
    <row r="7" customFormat="false" ht="15" hidden="false" customHeight="false" outlineLevel="0" collapsed="false">
      <c r="A7" s="2" t="s">
        <v>4</v>
      </c>
      <c r="B7" s="2" t="s">
        <v>6</v>
      </c>
      <c r="C7" s="2" t="s">
        <v>7</v>
      </c>
      <c r="D7" s="2" t="s">
        <v>63</v>
      </c>
      <c r="E7" s="5" t="n">
        <f aca="false">COUNTIFS(Distancias_Cidades!$A$2:$A$77,$A7,Distancias_Cidades!$C$2:$C$77,$C7)</f>
        <v>4</v>
      </c>
      <c r="F7" s="12" t="n">
        <f aca="false">AVERAGEIFS(Distancias_Cidades!$F$2:$F$77,Distancias_Cidades!$A$2:$A$77,$A7,Distancias_Cidades!$C$2:$C$77,$C7)</f>
        <v>1225</v>
      </c>
    </row>
    <row r="8" customFormat="false" ht="15" hidden="false" customHeight="false" outlineLevel="0" collapsed="false">
      <c r="A8" s="2" t="s">
        <v>4</v>
      </c>
      <c r="B8" s="2" t="s">
        <v>6</v>
      </c>
      <c r="C8" s="2" t="s">
        <v>67</v>
      </c>
      <c r="D8" s="2" t="s">
        <v>68</v>
      </c>
      <c r="E8" s="5" t="n">
        <f aca="false">COUNTIFS(Distancias_Cidades!$A$2:$A$77,$A8,Distancias_Cidades!$C$2:$C$77,$C8)</f>
        <v>3</v>
      </c>
      <c r="F8" s="12" t="n">
        <f aca="false">AVERAGEIFS(Distancias_Cidades!$F$2:$F$77,Distancias_Cidades!$A$2:$A$77,$A8,Distancias_Cidades!$C$2:$C$77,$C8)</f>
        <v>1773.33333333333</v>
      </c>
    </row>
    <row r="9" customFormat="false" ht="15" hidden="false" customHeight="false" outlineLevel="0" collapsed="false">
      <c r="A9" s="2" t="s">
        <v>4</v>
      </c>
      <c r="B9" s="2" t="s">
        <v>6</v>
      </c>
      <c r="C9" s="2" t="s">
        <v>72</v>
      </c>
      <c r="D9" s="2" t="s">
        <v>73</v>
      </c>
      <c r="E9" s="5" t="n">
        <f aca="false">COUNTIFS(Distancias_Cidades!$A$2:$A$77,$A9,Distancias_Cidades!$C$2:$C$77,$C9)</f>
        <v>3</v>
      </c>
      <c r="F9" s="12" t="n">
        <f aca="false">AVERAGEIFS(Distancias_Cidades!$F$2:$F$77,Distancias_Cidades!$A$2:$A$77,$A9,Distancias_Cidades!$C$2:$C$77,$C9)</f>
        <v>930</v>
      </c>
    </row>
    <row r="10" customFormat="false" ht="15" hidden="false" customHeight="false" outlineLevel="0" collapsed="false">
      <c r="A10" s="2" t="s">
        <v>4</v>
      </c>
      <c r="B10" s="2" t="s">
        <v>6</v>
      </c>
      <c r="C10" s="2" t="s">
        <v>77</v>
      </c>
      <c r="D10" s="2" t="s">
        <v>78</v>
      </c>
      <c r="E10" s="5" t="n">
        <f aca="false">COUNTIFS(Distancias_Cidades!$A$2:$A$77,$A10,Distancias_Cidades!$C$2:$C$77,$C10)</f>
        <v>3</v>
      </c>
      <c r="F10" s="12" t="n">
        <f aca="false">AVERAGEIFS(Distancias_Cidades!$F$2:$F$77,Distancias_Cidades!$A$2:$A$77,$A10,Distancias_Cidades!$C$2:$C$77,$C10)</f>
        <v>2463.33333333333</v>
      </c>
    </row>
    <row r="11" customFormat="false" ht="15" hidden="false" customHeight="false" outlineLevel="0" collapsed="false">
      <c r="A11" s="2" t="s">
        <v>4</v>
      </c>
      <c r="B11" s="2" t="s">
        <v>6</v>
      </c>
      <c r="C11" s="2" t="s">
        <v>82</v>
      </c>
      <c r="D11" s="2" t="s">
        <v>83</v>
      </c>
      <c r="E11" s="5" t="n">
        <f aca="false">COUNTIFS(Distancias_Cidades!$A$2:$A$77,$A11,Distancias_Cidades!$C$2:$C$77,$C11)</f>
        <v>3</v>
      </c>
      <c r="F11" s="12" t="n">
        <f aca="false">AVERAGEIFS(Distancias_Cidades!$F$2:$F$77,Distancias_Cidades!$A$2:$A$77,$A11,Distancias_Cidades!$C$2:$C$77,$C11)</f>
        <v>3073.33333333333</v>
      </c>
    </row>
    <row r="12" customFormat="false" ht="15" hidden="false" customHeight="false" outlineLevel="0" collapsed="false">
      <c r="A12" s="2" t="s">
        <v>7</v>
      </c>
      <c r="B12" s="2" t="s">
        <v>9</v>
      </c>
      <c r="C12" s="2" t="s">
        <v>4</v>
      </c>
      <c r="D12" s="2" t="s">
        <v>6</v>
      </c>
      <c r="E12" s="5" t="n">
        <f aca="false">COUNTIFS(Distancias_Cidades!$A$2:$A$77,$A12,Distancias_Cidades!$C$2:$C$77,$C12)</f>
        <v>6</v>
      </c>
      <c r="F12" s="12" t="n">
        <f aca="false">AVERAGEIFS(Distancias_Cidades!$F$2:$F$77,Distancias_Cidades!$A$2:$A$77,$A12,Distancias_Cidades!$C$2:$C$77,$C12)</f>
        <v>1193.33333333333</v>
      </c>
    </row>
    <row r="13" customFormat="false" ht="15" hidden="false" customHeight="false" outlineLevel="0" collapsed="false">
      <c r="A13" s="2" t="s">
        <v>7</v>
      </c>
      <c r="B13" s="2" t="s">
        <v>9</v>
      </c>
      <c r="C13" s="2" t="s">
        <v>40</v>
      </c>
      <c r="D13" s="2" t="s">
        <v>41</v>
      </c>
      <c r="E13" s="5" t="n">
        <f aca="false">COUNTIFS(Distancias_Cidades!$A$2:$A$77,$A13,Distancias_Cidades!$C$2:$C$77,$C13)</f>
        <v>4</v>
      </c>
      <c r="F13" s="12" t="n">
        <f aca="false">AVERAGEIFS(Distancias_Cidades!$F$2:$F$77,Distancias_Cidades!$A$2:$A$77,$A13,Distancias_Cidades!$C$2:$C$77,$C13)</f>
        <v>1587.5</v>
      </c>
    </row>
    <row r="14" customFormat="false" ht="15" hidden="false" customHeight="false" outlineLevel="0" collapsed="false">
      <c r="A14" s="2" t="s">
        <v>7</v>
      </c>
      <c r="B14" s="2" t="s">
        <v>9</v>
      </c>
      <c r="C14" s="2" t="s">
        <v>45</v>
      </c>
      <c r="D14" s="2" t="s">
        <v>46</v>
      </c>
      <c r="E14" s="5" t="n">
        <f aca="false">COUNTIFS(Distancias_Cidades!$A$2:$A$77,$A14,Distancias_Cidades!$C$2:$C$77,$C14)</f>
        <v>4</v>
      </c>
      <c r="F14" s="12" t="n">
        <f aca="false">AVERAGEIFS(Distancias_Cidades!$F$2:$F$77,Distancias_Cidades!$A$2:$A$77,$A14,Distancias_Cidades!$C$2:$C$77,$C14)</f>
        <v>1671.25</v>
      </c>
    </row>
    <row r="15" customFormat="false" ht="15" hidden="false" customHeight="false" outlineLevel="0" collapsed="false">
      <c r="A15" s="2" t="s">
        <v>7</v>
      </c>
      <c r="B15" s="2" t="s">
        <v>9</v>
      </c>
      <c r="C15" s="2" t="s">
        <v>51</v>
      </c>
      <c r="D15" s="2" t="s">
        <v>52</v>
      </c>
      <c r="E15" s="5" t="n">
        <f aca="false">COUNTIFS(Distancias_Cidades!$A$2:$A$77,$A15,Distancias_Cidades!$C$2:$C$77,$C15)</f>
        <v>4</v>
      </c>
      <c r="F15" s="12" t="n">
        <f aca="false">AVERAGEIFS(Distancias_Cidades!$F$2:$F$77,Distancias_Cidades!$A$2:$A$77,$A15,Distancias_Cidades!$C$2:$C$77,$C15)</f>
        <v>965</v>
      </c>
    </row>
    <row r="16" customFormat="false" ht="15" hidden="false" customHeight="false" outlineLevel="0" collapsed="false">
      <c r="A16" s="2" t="s">
        <v>7</v>
      </c>
      <c r="B16" s="2" t="s">
        <v>9</v>
      </c>
      <c r="C16" s="2" t="s">
        <v>57</v>
      </c>
      <c r="D16" s="2" t="s">
        <v>58</v>
      </c>
      <c r="E16" s="5" t="n">
        <f aca="false">COUNTIFS(Distancias_Cidades!$A$2:$A$77,$A16,Distancias_Cidades!$C$2:$C$77,$C16)</f>
        <v>4</v>
      </c>
      <c r="F16" s="12" t="n">
        <f aca="false">AVERAGEIFS(Distancias_Cidades!$F$2:$F$77,Distancias_Cidades!$A$2:$A$77,$A16,Distancias_Cidades!$C$2:$C$77,$C16)</f>
        <v>578.75</v>
      </c>
    </row>
    <row r="17" customFormat="false" ht="15" hidden="false" customHeight="false" outlineLevel="0" collapsed="false">
      <c r="A17" s="2" t="s">
        <v>7</v>
      </c>
      <c r="B17" s="2" t="s">
        <v>9</v>
      </c>
      <c r="C17" s="2" t="s">
        <v>7</v>
      </c>
      <c r="D17" s="2" t="s">
        <v>63</v>
      </c>
      <c r="E17" s="5" t="n">
        <f aca="false">COUNTIFS(Distancias_Cidades!$A$2:$A$77,$A17,Distancias_Cidades!$C$2:$C$77,$C17)</f>
        <v>4</v>
      </c>
      <c r="F17" s="12" t="n">
        <f aca="false">AVERAGEIFS(Distancias_Cidades!$F$2:$F$77,Distancias_Cidades!$A$2:$A$77,$A17,Distancias_Cidades!$C$2:$C$77,$C17)</f>
        <v>172.5</v>
      </c>
    </row>
    <row r="18" customFormat="false" ht="15" hidden="false" customHeight="false" outlineLevel="0" collapsed="false">
      <c r="A18" s="2" t="s">
        <v>7</v>
      </c>
      <c r="B18" s="2" t="s">
        <v>9</v>
      </c>
      <c r="C18" s="2" t="s">
        <v>67</v>
      </c>
      <c r="D18" s="2" t="s">
        <v>68</v>
      </c>
      <c r="E18" s="5" t="n">
        <f aca="false">COUNTIFS(Distancias_Cidades!$A$2:$A$77,$A18,Distancias_Cidades!$C$2:$C$77,$C18)</f>
        <v>3</v>
      </c>
      <c r="F18" s="12" t="n">
        <f aca="false">AVERAGEIFS(Distancias_Cidades!$F$2:$F$77,Distancias_Cidades!$A$2:$A$77,$A18,Distancias_Cidades!$C$2:$C$77,$C18)</f>
        <v>2876.66666666667</v>
      </c>
    </row>
    <row r="19" customFormat="false" ht="15" hidden="false" customHeight="false" outlineLevel="0" collapsed="false">
      <c r="A19" s="2" t="s">
        <v>7</v>
      </c>
      <c r="B19" s="2" t="s">
        <v>9</v>
      </c>
      <c r="C19" s="2" t="s">
        <v>72</v>
      </c>
      <c r="D19" s="2" t="s">
        <v>73</v>
      </c>
      <c r="E19" s="5" t="n">
        <f aca="false">COUNTIFS(Distancias_Cidades!$A$2:$A$77,$A19,Distancias_Cidades!$C$2:$C$77,$C19)</f>
        <v>3</v>
      </c>
      <c r="F19" s="12" t="n">
        <f aca="false">AVERAGEIFS(Distancias_Cidades!$F$2:$F$77,Distancias_Cidades!$A$2:$A$77,$A19,Distancias_Cidades!$C$2:$C$77,$C19)</f>
        <v>1973.33333333333</v>
      </c>
    </row>
    <row r="20" customFormat="false" ht="15" hidden="false" customHeight="false" outlineLevel="0" collapsed="false">
      <c r="A20" s="2" t="s">
        <v>7</v>
      </c>
      <c r="B20" s="2" t="s">
        <v>9</v>
      </c>
      <c r="C20" s="2" t="s">
        <v>77</v>
      </c>
      <c r="D20" s="2" t="s">
        <v>78</v>
      </c>
      <c r="E20" s="5" t="n">
        <f aca="false">COUNTIFS(Distancias_Cidades!$A$2:$A$77,$A20,Distancias_Cidades!$C$2:$C$77,$C20)</f>
        <v>3</v>
      </c>
      <c r="F20" s="12" t="n">
        <f aca="false">AVERAGEIFS(Distancias_Cidades!$F$2:$F$77,Distancias_Cidades!$A$2:$A$77,$A20,Distancias_Cidades!$C$2:$C$77,$C20)</f>
        <v>3546.66666666667</v>
      </c>
    </row>
    <row r="21" customFormat="false" ht="15" hidden="false" customHeight="false" outlineLevel="0" collapsed="false">
      <c r="A21" s="2" t="s">
        <v>7</v>
      </c>
      <c r="B21" s="2" t="s">
        <v>9</v>
      </c>
      <c r="C21" s="2" t="s">
        <v>82</v>
      </c>
      <c r="D21" s="2" t="s">
        <v>83</v>
      </c>
      <c r="E21" s="5" t="n">
        <f aca="false">COUNTIFS(Distancias_Cidades!$A$2:$A$77,$A21,Distancias_Cidades!$C$2:$C$77,$C21)</f>
        <v>3</v>
      </c>
      <c r="F21" s="12" t="n">
        <f aca="false">AVERAGEIFS(Distancias_Cidades!$F$2:$F$77,Distancias_Cidades!$A$2:$A$77,$A21,Distancias_Cidades!$C$2:$C$77,$C21)</f>
        <v>4170</v>
      </c>
    </row>
    <row r="23" customFormat="false" ht="15" hidden="false" customHeight="false" outlineLevel="0" collapsed="false">
      <c r="A23" s="3" t="s">
        <v>89</v>
      </c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2026-10-12T19:25:44Z</dcterms:created>
  <dc:creator>openpyxl</dc:creator>
  <dc:description/>
  <dc:language>en-US</dc:language>
  <cp:lastModifiedBy/>
  <dcterms:modified xsi:type="dcterms:W3CDTF">2026-10-12T19:25:44Z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