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Distancias_Candidatos" sheetId="2" state="visible" r:id="rId4"/>
    <sheet name="Vizinhanca" sheetId="3" state="visible" r:id="rId5"/>
  </sheets>
  <definedNames>
    <definedName function="false" hidden="true" localSheetId="1" name="_xlnm._FilterDatabase" vbProcedure="false">Distancias_Candidatos!$A$1:$I$99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Distância rodoviária aproximada em km (estimativa). Validar em mapa online.</t>
        </r>
      </text>
    </comment>
    <comment ref="I1" authorId="0">
      <text>
        <r>
          <rPr>
            <sz val="10"/>
            <rFont val="Arial"/>
            <family val="2"/>
          </rPr>
          <t xml:space="preserve">= Distancia_km × Voltas ÷ Consumo × Preço (aba Parametros).</t>
        </r>
      </text>
    </comment>
  </commentList>
</comments>
</file>

<file path=xl/sharedStrings.xml><?xml version="1.0" encoding="utf-8"?>
<sst xmlns="http://schemas.openxmlformats.org/spreadsheetml/2006/main" count="655" uniqueCount="100">
  <si>
    <t xml:space="preserve">Parâmetros do cálculo de gasolina (iguais aos da planilha de distâncias dos polos atuais)</t>
  </si>
  <si>
    <t xml:space="preserve">Parâmetro</t>
  </si>
  <si>
    <t xml:space="preserve">Valor</t>
  </si>
  <si>
    <t xml:space="preserve">Unidade</t>
  </si>
  <si>
    <t xml:space="preserve">Observação</t>
  </si>
  <si>
    <t xml:space="preserve">Preço da gasolina comum</t>
  </si>
  <si>
    <t xml:space="preserve">R$/litro</t>
  </si>
  <si>
    <t xml:space="preserve">Média nacional ANP, semana de referência 24/07/2026 (R$ 6,597/L). Mantenha igual ao da planilha dos polos atuais.</t>
  </si>
  <si>
    <t xml:space="preserve">Consumo médio do veículo</t>
  </si>
  <si>
    <t xml:space="preserve">km/litro</t>
  </si>
  <si>
    <t xml:space="preserve">Mesma premissa da planilha dos polos atuais.</t>
  </si>
  <si>
    <t xml:space="preserve">Voltas (1 = só ida, 2 = ida e volta)</t>
  </si>
  <si>
    <t xml:space="preserve">nº</t>
  </si>
  <si>
    <t xml:space="preserve">Multiplica a distância no cálculo do custo. Mantenha igual ao que você usa no pandas.</t>
  </si>
  <si>
    <t xml:space="preserve">Premissas</t>
  </si>
  <si>
    <t xml:space="preserve">Cada estado candidato (todos os estados da base, exceto SP e RS) recebe como sede a sua capital. É uma premissa: altere a sede se preferir outra cidade e ajuste as distâncias.</t>
  </si>
  <si>
    <t xml:space="preserve">Para cada candidato, a aba Distancias_Candidatos traz as cidades do próprio estado e SOMENTE as cidades dos estados vizinhos que existem na base (ES, MS, DF, PI, TO etc. ficam de fora porque não recebem exportações).</t>
  </si>
  <si>
    <t xml:space="preserve">Distâncias rodoviárias aproximadas, estimadas sem consulta a um mapa em tempo real. Valide no Google Maps (ou outra fonte) e substitua, pois podem variar cerca de 5 a 10%.</t>
  </si>
  <si>
    <t xml:space="preserve">Dentro da própria cidade da sede, a distância foi fixada em 20 km (mesma premissa da planilha dos polos atuais).</t>
  </si>
  <si>
    <t xml:space="preserve">O custo considera só combustível (sem pedágio, motorista ou custo de abrir o polo).</t>
  </si>
  <si>
    <t xml:space="preserve">Células com fonte azul são dados digitados; as amarelas são parâmetros editáveis; as pretas são fórmulas.</t>
  </si>
  <si>
    <t xml:space="preserve">ID_Polo</t>
  </si>
  <si>
    <t xml:space="preserve">Cidade_Origem</t>
  </si>
  <si>
    <t xml:space="preserve">Relacao</t>
  </si>
  <si>
    <t xml:space="preserve">UF_Destino</t>
  </si>
  <si>
    <t xml:space="preserve">Estado_Destino</t>
  </si>
  <si>
    <t xml:space="preserve">Cidade_Destino</t>
  </si>
  <si>
    <t xml:space="preserve">Distancia_km</t>
  </si>
  <si>
    <t xml:space="preserve">Litros_Gasolina</t>
  </si>
  <si>
    <t xml:space="preserve">Custo_Gasolina</t>
  </si>
  <si>
    <t xml:space="preserve">RJ</t>
  </si>
  <si>
    <t xml:space="preserve">Rio de Janeiro</t>
  </si>
  <si>
    <t xml:space="preserve">Próprio estado</t>
  </si>
  <si>
    <t xml:space="preserve">Niterói</t>
  </si>
  <si>
    <t xml:space="preserve">Volta Redonda</t>
  </si>
  <si>
    <t xml:space="preserve">Campos dos Goytacazes</t>
  </si>
  <si>
    <t xml:space="preserve">Estado vizinho</t>
  </si>
  <si>
    <t xml:space="preserve">SP</t>
  </si>
  <si>
    <t xml:space="preserve">São Paulo</t>
  </si>
  <si>
    <t xml:space="preserve">Campinas</t>
  </si>
  <si>
    <t xml:space="preserve">Ribeirão Preto</t>
  </si>
  <si>
    <t xml:space="preserve">Santos</t>
  </si>
  <si>
    <t xml:space="preserve">Sorocaba</t>
  </si>
  <si>
    <t xml:space="preserve">São José dos Campos</t>
  </si>
  <si>
    <t xml:space="preserve">MG</t>
  </si>
  <si>
    <t xml:space="preserve">Minas Gerais</t>
  </si>
  <si>
    <t xml:space="preserve">Belo Horizonte</t>
  </si>
  <si>
    <t xml:space="preserve">Uberlândia</t>
  </si>
  <si>
    <t xml:space="preserve">Juiz de Fora</t>
  </si>
  <si>
    <t xml:space="preserve">Contagem</t>
  </si>
  <si>
    <t xml:space="preserve">GO</t>
  </si>
  <si>
    <t xml:space="preserve">Goiás</t>
  </si>
  <si>
    <t xml:space="preserve">Goiânia</t>
  </si>
  <si>
    <t xml:space="preserve">Anápolis</t>
  </si>
  <si>
    <t xml:space="preserve">Rio Verde</t>
  </si>
  <si>
    <t xml:space="preserve">BA</t>
  </si>
  <si>
    <t xml:space="preserve">Bahia</t>
  </si>
  <si>
    <t xml:space="preserve">Salvador</t>
  </si>
  <si>
    <t xml:space="preserve">Feira de Santana</t>
  </si>
  <si>
    <t xml:space="preserve">Vitória da Conquista</t>
  </si>
  <si>
    <t xml:space="preserve">PR</t>
  </si>
  <si>
    <t xml:space="preserve">Curitiba</t>
  </si>
  <si>
    <t xml:space="preserve">Paraná</t>
  </si>
  <si>
    <t xml:space="preserve">Londrina</t>
  </si>
  <si>
    <t xml:space="preserve">Maringá</t>
  </si>
  <si>
    <t xml:space="preserve">Cascavel</t>
  </si>
  <si>
    <t xml:space="preserve">SC</t>
  </si>
  <si>
    <t xml:space="preserve">Santa Catarina</t>
  </si>
  <si>
    <t xml:space="preserve">Joinville</t>
  </si>
  <si>
    <t xml:space="preserve">Florianópolis</t>
  </si>
  <si>
    <t xml:space="preserve">Blumenau</t>
  </si>
  <si>
    <t xml:space="preserve">Chapecó</t>
  </si>
  <si>
    <t xml:space="preserve">RS</t>
  </si>
  <si>
    <t xml:space="preserve">Rio Grande do Sul</t>
  </si>
  <si>
    <t xml:space="preserve">Porto Alegre</t>
  </si>
  <si>
    <t xml:space="preserve">Caxias do Sul</t>
  </si>
  <si>
    <t xml:space="preserve">Pelotas</t>
  </si>
  <si>
    <t xml:space="preserve">Santa Maria</t>
  </si>
  <si>
    <t xml:space="preserve">PE</t>
  </si>
  <si>
    <t xml:space="preserve">Pernambuco</t>
  </si>
  <si>
    <t xml:space="preserve">Recife</t>
  </si>
  <si>
    <t xml:space="preserve">Caruaru</t>
  </si>
  <si>
    <t xml:space="preserve">Petrolina</t>
  </si>
  <si>
    <t xml:space="preserve">CE</t>
  </si>
  <si>
    <t xml:space="preserve">Ceará</t>
  </si>
  <si>
    <t xml:space="preserve">Fortaleza</t>
  </si>
  <si>
    <t xml:space="preserve">Juazeiro do Norte</t>
  </si>
  <si>
    <t xml:space="preserve">Sobral</t>
  </si>
  <si>
    <t xml:space="preserve">Estado_Candidato</t>
  </si>
  <si>
    <t xml:space="preserve">Cidade_Sede</t>
  </si>
  <si>
    <t xml:space="preserve">Estados_Vizinhos_Considerados</t>
  </si>
  <si>
    <t xml:space="preserve">SP (São Paulo), MG (Minas Gerais)</t>
  </si>
  <si>
    <t xml:space="preserve">SP (São Paulo), RJ (Rio de Janeiro), GO (Goiás), BA (Bahia)</t>
  </si>
  <si>
    <t xml:space="preserve">SP (São Paulo), SC (Santa Catarina)</t>
  </si>
  <si>
    <t xml:space="preserve">PR (Paraná), RS (Rio Grande do Sul)</t>
  </si>
  <si>
    <t xml:space="preserve">MG (Minas Gerais), GO (Goiás), PE (Pernambuco)</t>
  </si>
  <si>
    <t xml:space="preserve">MG (Minas Gerais), BA (Bahia)</t>
  </si>
  <si>
    <t xml:space="preserve">BA (Bahia), CE (Ceará)</t>
  </si>
  <si>
    <t xml:space="preserve">PE (Pernambuco)</t>
  </si>
  <si>
    <t xml:space="preserve">Só entram vizinhos que existem na base de exportações. Fronteiras com estados sem exportações (ES, MS, DF, PI, TO, MT, PB, AL, SE, RN) foram ignoradas.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</si>
</sst>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"/>
    <numFmt numFmtId="167" formatCode="0"/>
    <numFmt numFmtId="168" formatCode="#,##0"/>
    <numFmt numFmtId="169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30" hidden="false" customHeight="true" outlineLevel="0" collapsed="false">
      <c r="A4" s="3" t="s">
        <v>5</v>
      </c>
      <c r="B4" s="4" t="n">
        <v>6.6</v>
      </c>
      <c r="C4" s="3" t="s">
        <v>6</v>
      </c>
      <c r="D4" s="5" t="s">
        <v>7</v>
      </c>
    </row>
    <row r="5" customFormat="false" ht="30" hidden="false" customHeight="true" outlineLevel="0" collapsed="false">
      <c r="A5" s="3" t="s">
        <v>8</v>
      </c>
      <c r="B5" s="6" t="n">
        <v>8</v>
      </c>
      <c r="C5" s="3" t="s">
        <v>9</v>
      </c>
      <c r="D5" s="5" t="s">
        <v>10</v>
      </c>
    </row>
    <row r="6" customFormat="false" ht="30" hidden="false" customHeight="true" outlineLevel="0" collapsed="false">
      <c r="A6" s="3" t="s">
        <v>11</v>
      </c>
      <c r="B6" s="7" t="n">
        <v>1</v>
      </c>
      <c r="C6" s="3" t="s">
        <v>12</v>
      </c>
      <c r="D6" s="5" t="s">
        <v>13</v>
      </c>
    </row>
    <row r="8" customFormat="false" ht="15" hidden="false" customHeight="false" outlineLevel="0" collapsed="false">
      <c r="A8" s="8" t="s">
        <v>14</v>
      </c>
    </row>
    <row r="9" customFormat="false" ht="30" hidden="false" customHeight="true" outlineLevel="0" collapsed="false">
      <c r="A9" s="9" t="s">
        <v>15</v>
      </c>
      <c r="B9" s="9"/>
      <c r="C9" s="9"/>
      <c r="D9" s="9"/>
    </row>
    <row r="10" customFormat="false" ht="30" hidden="false" customHeight="true" outlineLevel="0" collapsed="false">
      <c r="A10" s="9" t="s">
        <v>16</v>
      </c>
      <c r="B10" s="9"/>
      <c r="C10" s="9"/>
      <c r="D10" s="9"/>
    </row>
    <row r="11" customFormat="false" ht="30" hidden="false" customHeight="true" outlineLevel="0" collapsed="false">
      <c r="A11" s="9" t="s">
        <v>17</v>
      </c>
      <c r="B11" s="9"/>
      <c r="C11" s="9"/>
      <c r="D11" s="9"/>
    </row>
    <row r="12" customFormat="false" ht="30" hidden="false" customHeight="true" outlineLevel="0" collapsed="false">
      <c r="A12" s="9" t="s">
        <v>18</v>
      </c>
      <c r="B12" s="9"/>
      <c r="C12" s="9"/>
      <c r="D12" s="9"/>
    </row>
    <row r="13" customFormat="false" ht="30" hidden="false" customHeight="true" outlineLevel="0" collapsed="false">
      <c r="A13" s="9" t="s">
        <v>19</v>
      </c>
      <c r="B13" s="9"/>
      <c r="C13" s="9"/>
      <c r="D13" s="9"/>
    </row>
    <row r="14" customFormat="false" ht="30" hidden="false" customHeight="true" outlineLevel="0" collapsed="false">
      <c r="A14" s="9" t="s">
        <v>20</v>
      </c>
      <c r="B14" s="9"/>
      <c r="C14" s="9"/>
      <c r="D14" s="9"/>
    </row>
  </sheetData>
  <mergeCells count="6"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23.85" hidden="false" customHeight="fals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  <row r="2" customFormat="false" ht="15" hidden="false" customHeight="false" outlineLevel="0" collapsed="false">
      <c r="A2" s="10" t="s">
        <v>30</v>
      </c>
      <c r="B2" s="10" t="s">
        <v>31</v>
      </c>
      <c r="C2" s="10" t="s">
        <v>32</v>
      </c>
      <c r="D2" s="10" t="s">
        <v>30</v>
      </c>
      <c r="E2" s="10" t="s">
        <v>31</v>
      </c>
      <c r="F2" s="10" t="s">
        <v>31</v>
      </c>
      <c r="G2" s="11" t="n">
        <v>20</v>
      </c>
      <c r="H2" s="12" t="n">
        <f aca="false">G2*Parametros!$B$6/Parametros!$B$5</f>
        <v>2.5</v>
      </c>
      <c r="I2" s="13" t="n">
        <f aca="false">H2*Parametros!$B$4</f>
        <v>16.5</v>
      </c>
    </row>
    <row r="3" customFormat="false" ht="15" hidden="false" customHeight="false" outlineLevel="0" collapsed="false">
      <c r="A3" s="10" t="s">
        <v>30</v>
      </c>
      <c r="B3" s="10" t="s">
        <v>31</v>
      </c>
      <c r="C3" s="10" t="s">
        <v>32</v>
      </c>
      <c r="D3" s="10" t="s">
        <v>30</v>
      </c>
      <c r="E3" s="10" t="s">
        <v>31</v>
      </c>
      <c r="F3" s="10" t="s">
        <v>33</v>
      </c>
      <c r="G3" s="11" t="n">
        <v>15</v>
      </c>
      <c r="H3" s="12" t="n">
        <f aca="false">G3*Parametros!$B$6/Parametros!$B$5</f>
        <v>1.875</v>
      </c>
      <c r="I3" s="13" t="n">
        <f aca="false">H3*Parametros!$B$4</f>
        <v>12.375</v>
      </c>
    </row>
    <row r="4" customFormat="false" ht="15" hidden="false" customHeight="false" outlineLevel="0" collapsed="false">
      <c r="A4" s="10" t="s">
        <v>30</v>
      </c>
      <c r="B4" s="10" t="s">
        <v>31</v>
      </c>
      <c r="C4" s="10" t="s">
        <v>32</v>
      </c>
      <c r="D4" s="10" t="s">
        <v>30</v>
      </c>
      <c r="E4" s="10" t="s">
        <v>31</v>
      </c>
      <c r="F4" s="10" t="s">
        <v>34</v>
      </c>
      <c r="G4" s="11" t="n">
        <v>125</v>
      </c>
      <c r="H4" s="12" t="n">
        <f aca="false">G4*Parametros!$B$6/Parametros!$B$5</f>
        <v>15.625</v>
      </c>
      <c r="I4" s="13" t="n">
        <f aca="false">H4*Parametros!$B$4</f>
        <v>103.125</v>
      </c>
    </row>
    <row r="5" customFormat="false" ht="15" hidden="false" customHeight="false" outlineLevel="0" collapsed="false">
      <c r="A5" s="10" t="s">
        <v>30</v>
      </c>
      <c r="B5" s="10" t="s">
        <v>31</v>
      </c>
      <c r="C5" s="10" t="s">
        <v>32</v>
      </c>
      <c r="D5" s="10" t="s">
        <v>30</v>
      </c>
      <c r="E5" s="10" t="s">
        <v>31</v>
      </c>
      <c r="F5" s="10" t="s">
        <v>35</v>
      </c>
      <c r="G5" s="11" t="n">
        <v>280</v>
      </c>
      <c r="H5" s="12" t="n">
        <f aca="false">G5*Parametros!$B$6/Parametros!$B$5</f>
        <v>35</v>
      </c>
      <c r="I5" s="13" t="n">
        <f aca="false">H5*Parametros!$B$4</f>
        <v>231</v>
      </c>
    </row>
    <row r="6" customFormat="false" ht="15" hidden="false" customHeight="false" outlineLevel="0" collapsed="false">
      <c r="A6" s="10" t="s">
        <v>30</v>
      </c>
      <c r="B6" s="10" t="s">
        <v>31</v>
      </c>
      <c r="C6" s="10" t="s">
        <v>36</v>
      </c>
      <c r="D6" s="10" t="s">
        <v>37</v>
      </c>
      <c r="E6" s="10" t="s">
        <v>38</v>
      </c>
      <c r="F6" s="10" t="s">
        <v>38</v>
      </c>
      <c r="G6" s="11" t="n">
        <v>435</v>
      </c>
      <c r="H6" s="12" t="n">
        <f aca="false">G6*Parametros!$B$6/Parametros!$B$5</f>
        <v>54.375</v>
      </c>
      <c r="I6" s="13" t="n">
        <f aca="false">H6*Parametros!$B$4</f>
        <v>358.875</v>
      </c>
    </row>
    <row r="7" customFormat="false" ht="15" hidden="false" customHeight="false" outlineLevel="0" collapsed="false">
      <c r="A7" s="10" t="s">
        <v>30</v>
      </c>
      <c r="B7" s="10" t="s">
        <v>31</v>
      </c>
      <c r="C7" s="10" t="s">
        <v>36</v>
      </c>
      <c r="D7" s="10" t="s">
        <v>37</v>
      </c>
      <c r="E7" s="10" t="s">
        <v>38</v>
      </c>
      <c r="F7" s="10" t="s">
        <v>39</v>
      </c>
      <c r="G7" s="11" t="n">
        <v>490</v>
      </c>
      <c r="H7" s="12" t="n">
        <f aca="false">G7*Parametros!$B$6/Parametros!$B$5</f>
        <v>61.25</v>
      </c>
      <c r="I7" s="13" t="n">
        <f aca="false">H7*Parametros!$B$4</f>
        <v>404.25</v>
      </c>
    </row>
    <row r="8" customFormat="false" ht="15" hidden="false" customHeight="false" outlineLevel="0" collapsed="false">
      <c r="A8" s="10" t="s">
        <v>30</v>
      </c>
      <c r="B8" s="10" t="s">
        <v>31</v>
      </c>
      <c r="C8" s="10" t="s">
        <v>36</v>
      </c>
      <c r="D8" s="10" t="s">
        <v>37</v>
      </c>
      <c r="E8" s="10" t="s">
        <v>38</v>
      </c>
      <c r="F8" s="10" t="s">
        <v>40</v>
      </c>
      <c r="G8" s="11" t="n">
        <v>710</v>
      </c>
      <c r="H8" s="12" t="n">
        <f aca="false">G8*Parametros!$B$6/Parametros!$B$5</f>
        <v>88.75</v>
      </c>
      <c r="I8" s="13" t="n">
        <f aca="false">H8*Parametros!$B$4</f>
        <v>585.75</v>
      </c>
    </row>
    <row r="9" customFormat="false" ht="15" hidden="false" customHeight="false" outlineLevel="0" collapsed="false">
      <c r="A9" s="10" t="s">
        <v>30</v>
      </c>
      <c r="B9" s="10" t="s">
        <v>31</v>
      </c>
      <c r="C9" s="10" t="s">
        <v>36</v>
      </c>
      <c r="D9" s="10" t="s">
        <v>37</v>
      </c>
      <c r="E9" s="10" t="s">
        <v>38</v>
      </c>
      <c r="F9" s="10" t="s">
        <v>41</v>
      </c>
      <c r="G9" s="11" t="n">
        <v>500</v>
      </c>
      <c r="H9" s="12" t="n">
        <f aca="false">G9*Parametros!$B$6/Parametros!$B$5</f>
        <v>62.5</v>
      </c>
      <c r="I9" s="13" t="n">
        <f aca="false">H9*Parametros!$B$4</f>
        <v>412.5</v>
      </c>
    </row>
    <row r="10" customFormat="false" ht="15" hidden="false" customHeight="false" outlineLevel="0" collapsed="false">
      <c r="A10" s="10" t="s">
        <v>30</v>
      </c>
      <c r="B10" s="10" t="s">
        <v>31</v>
      </c>
      <c r="C10" s="10" t="s">
        <v>36</v>
      </c>
      <c r="D10" s="10" t="s">
        <v>37</v>
      </c>
      <c r="E10" s="10" t="s">
        <v>38</v>
      </c>
      <c r="F10" s="10" t="s">
        <v>42</v>
      </c>
      <c r="G10" s="11" t="n">
        <v>520</v>
      </c>
      <c r="H10" s="12" t="n">
        <f aca="false">G10*Parametros!$B$6/Parametros!$B$5</f>
        <v>65</v>
      </c>
      <c r="I10" s="13" t="n">
        <f aca="false">H10*Parametros!$B$4</f>
        <v>429</v>
      </c>
    </row>
    <row r="11" customFormat="false" ht="15" hidden="false" customHeight="false" outlineLevel="0" collapsed="false">
      <c r="A11" s="10" t="s">
        <v>30</v>
      </c>
      <c r="B11" s="10" t="s">
        <v>31</v>
      </c>
      <c r="C11" s="10" t="s">
        <v>36</v>
      </c>
      <c r="D11" s="10" t="s">
        <v>37</v>
      </c>
      <c r="E11" s="10" t="s">
        <v>38</v>
      </c>
      <c r="F11" s="10" t="s">
        <v>43</v>
      </c>
      <c r="G11" s="11" t="n">
        <v>335</v>
      </c>
      <c r="H11" s="12" t="n">
        <f aca="false">G11*Parametros!$B$6/Parametros!$B$5</f>
        <v>41.875</v>
      </c>
      <c r="I11" s="13" t="n">
        <f aca="false">H11*Parametros!$B$4</f>
        <v>276.375</v>
      </c>
    </row>
    <row r="12" customFormat="false" ht="15" hidden="false" customHeight="false" outlineLevel="0" collapsed="false">
      <c r="A12" s="10" t="s">
        <v>30</v>
      </c>
      <c r="B12" s="10" t="s">
        <v>31</v>
      </c>
      <c r="C12" s="10" t="s">
        <v>36</v>
      </c>
      <c r="D12" s="10" t="s">
        <v>44</v>
      </c>
      <c r="E12" s="10" t="s">
        <v>45</v>
      </c>
      <c r="F12" s="10" t="s">
        <v>46</v>
      </c>
      <c r="G12" s="11" t="n">
        <v>440</v>
      </c>
      <c r="H12" s="12" t="n">
        <f aca="false">G12*Parametros!$B$6/Parametros!$B$5</f>
        <v>55</v>
      </c>
      <c r="I12" s="13" t="n">
        <f aca="false">H12*Parametros!$B$4</f>
        <v>363</v>
      </c>
    </row>
    <row r="13" customFormat="false" ht="15" hidden="false" customHeight="false" outlineLevel="0" collapsed="false">
      <c r="A13" s="10" t="s">
        <v>30</v>
      </c>
      <c r="B13" s="10" t="s">
        <v>31</v>
      </c>
      <c r="C13" s="10" t="s">
        <v>36</v>
      </c>
      <c r="D13" s="10" t="s">
        <v>44</v>
      </c>
      <c r="E13" s="10" t="s">
        <v>45</v>
      </c>
      <c r="F13" s="10" t="s">
        <v>47</v>
      </c>
      <c r="G13" s="11" t="n">
        <v>960</v>
      </c>
      <c r="H13" s="12" t="n">
        <f aca="false">G13*Parametros!$B$6/Parametros!$B$5</f>
        <v>120</v>
      </c>
      <c r="I13" s="13" t="n">
        <f aca="false">H13*Parametros!$B$4</f>
        <v>792</v>
      </c>
    </row>
    <row r="14" customFormat="false" ht="15" hidden="false" customHeight="false" outlineLevel="0" collapsed="false">
      <c r="A14" s="10" t="s">
        <v>30</v>
      </c>
      <c r="B14" s="10" t="s">
        <v>31</v>
      </c>
      <c r="C14" s="10" t="s">
        <v>36</v>
      </c>
      <c r="D14" s="10" t="s">
        <v>44</v>
      </c>
      <c r="E14" s="10" t="s">
        <v>45</v>
      </c>
      <c r="F14" s="10" t="s">
        <v>48</v>
      </c>
      <c r="G14" s="11" t="n">
        <v>185</v>
      </c>
      <c r="H14" s="12" t="n">
        <f aca="false">G14*Parametros!$B$6/Parametros!$B$5</f>
        <v>23.125</v>
      </c>
      <c r="I14" s="13" t="n">
        <f aca="false">H14*Parametros!$B$4</f>
        <v>152.625</v>
      </c>
    </row>
    <row r="15" customFormat="false" ht="15" hidden="false" customHeight="false" outlineLevel="0" collapsed="false">
      <c r="A15" s="10" t="s">
        <v>30</v>
      </c>
      <c r="B15" s="10" t="s">
        <v>31</v>
      </c>
      <c r="C15" s="10" t="s">
        <v>36</v>
      </c>
      <c r="D15" s="10" t="s">
        <v>44</v>
      </c>
      <c r="E15" s="10" t="s">
        <v>45</v>
      </c>
      <c r="F15" s="10" t="s">
        <v>49</v>
      </c>
      <c r="G15" s="11" t="n">
        <v>455</v>
      </c>
      <c r="H15" s="12" t="n">
        <f aca="false">G15*Parametros!$B$6/Parametros!$B$5</f>
        <v>56.875</v>
      </c>
      <c r="I15" s="13" t="n">
        <f aca="false">H15*Parametros!$B$4</f>
        <v>375.375</v>
      </c>
    </row>
    <row r="16" customFormat="false" ht="15" hidden="false" customHeight="false" outlineLevel="0" collapsed="false">
      <c r="A16" s="10" t="s">
        <v>44</v>
      </c>
      <c r="B16" s="10" t="s">
        <v>46</v>
      </c>
      <c r="C16" s="10" t="s">
        <v>32</v>
      </c>
      <c r="D16" s="10" t="s">
        <v>44</v>
      </c>
      <c r="E16" s="10" t="s">
        <v>45</v>
      </c>
      <c r="F16" s="10" t="s">
        <v>46</v>
      </c>
      <c r="G16" s="11" t="n">
        <v>20</v>
      </c>
      <c r="H16" s="12" t="n">
        <f aca="false">G16*Parametros!$B$6/Parametros!$B$5</f>
        <v>2.5</v>
      </c>
      <c r="I16" s="13" t="n">
        <f aca="false">H16*Parametros!$B$4</f>
        <v>16.5</v>
      </c>
    </row>
    <row r="17" customFormat="false" ht="15" hidden="false" customHeight="false" outlineLevel="0" collapsed="false">
      <c r="A17" s="10" t="s">
        <v>44</v>
      </c>
      <c r="B17" s="10" t="s">
        <v>46</v>
      </c>
      <c r="C17" s="10" t="s">
        <v>32</v>
      </c>
      <c r="D17" s="10" t="s">
        <v>44</v>
      </c>
      <c r="E17" s="10" t="s">
        <v>45</v>
      </c>
      <c r="F17" s="10" t="s">
        <v>47</v>
      </c>
      <c r="G17" s="11" t="n">
        <v>550</v>
      </c>
      <c r="H17" s="12" t="n">
        <f aca="false">G17*Parametros!$B$6/Parametros!$B$5</f>
        <v>68.75</v>
      </c>
      <c r="I17" s="13" t="n">
        <f aca="false">H17*Parametros!$B$4</f>
        <v>453.75</v>
      </c>
    </row>
    <row r="18" customFormat="false" ht="15" hidden="false" customHeight="false" outlineLevel="0" collapsed="false">
      <c r="A18" s="10" t="s">
        <v>44</v>
      </c>
      <c r="B18" s="10" t="s">
        <v>46</v>
      </c>
      <c r="C18" s="10" t="s">
        <v>32</v>
      </c>
      <c r="D18" s="10" t="s">
        <v>44</v>
      </c>
      <c r="E18" s="10" t="s">
        <v>45</v>
      </c>
      <c r="F18" s="10" t="s">
        <v>48</v>
      </c>
      <c r="G18" s="11" t="n">
        <v>270</v>
      </c>
      <c r="H18" s="12" t="n">
        <f aca="false">G18*Parametros!$B$6/Parametros!$B$5</f>
        <v>33.75</v>
      </c>
      <c r="I18" s="13" t="n">
        <f aca="false">H18*Parametros!$B$4</f>
        <v>222.75</v>
      </c>
    </row>
    <row r="19" customFormat="false" ht="15" hidden="false" customHeight="false" outlineLevel="0" collapsed="false">
      <c r="A19" s="10" t="s">
        <v>44</v>
      </c>
      <c r="B19" s="10" t="s">
        <v>46</v>
      </c>
      <c r="C19" s="10" t="s">
        <v>32</v>
      </c>
      <c r="D19" s="10" t="s">
        <v>44</v>
      </c>
      <c r="E19" s="10" t="s">
        <v>45</v>
      </c>
      <c r="F19" s="10" t="s">
        <v>49</v>
      </c>
      <c r="G19" s="11" t="n">
        <v>20</v>
      </c>
      <c r="H19" s="12" t="n">
        <f aca="false">G19*Parametros!$B$6/Parametros!$B$5</f>
        <v>2.5</v>
      </c>
      <c r="I19" s="13" t="n">
        <f aca="false">H19*Parametros!$B$4</f>
        <v>16.5</v>
      </c>
    </row>
    <row r="20" customFormat="false" ht="15" hidden="false" customHeight="false" outlineLevel="0" collapsed="false">
      <c r="A20" s="10" t="s">
        <v>44</v>
      </c>
      <c r="B20" s="10" t="s">
        <v>46</v>
      </c>
      <c r="C20" s="10" t="s">
        <v>36</v>
      </c>
      <c r="D20" s="10" t="s">
        <v>37</v>
      </c>
      <c r="E20" s="10" t="s">
        <v>38</v>
      </c>
      <c r="F20" s="10" t="s">
        <v>38</v>
      </c>
      <c r="G20" s="11" t="n">
        <v>586</v>
      </c>
      <c r="H20" s="12" t="n">
        <f aca="false">G20*Parametros!$B$6/Parametros!$B$5</f>
        <v>73.25</v>
      </c>
      <c r="I20" s="13" t="n">
        <f aca="false">H20*Parametros!$B$4</f>
        <v>483.45</v>
      </c>
    </row>
    <row r="21" customFormat="false" ht="15" hidden="false" customHeight="false" outlineLevel="0" collapsed="false">
      <c r="A21" s="10" t="s">
        <v>44</v>
      </c>
      <c r="B21" s="10" t="s">
        <v>46</v>
      </c>
      <c r="C21" s="10" t="s">
        <v>36</v>
      </c>
      <c r="D21" s="10" t="s">
        <v>37</v>
      </c>
      <c r="E21" s="10" t="s">
        <v>38</v>
      </c>
      <c r="F21" s="10" t="s">
        <v>39</v>
      </c>
      <c r="G21" s="11" t="n">
        <v>590</v>
      </c>
      <c r="H21" s="12" t="n">
        <f aca="false">G21*Parametros!$B$6/Parametros!$B$5</f>
        <v>73.75</v>
      </c>
      <c r="I21" s="13" t="n">
        <f aca="false">H21*Parametros!$B$4</f>
        <v>486.75</v>
      </c>
    </row>
    <row r="22" customFormat="false" ht="15" hidden="false" customHeight="false" outlineLevel="0" collapsed="false">
      <c r="A22" s="10" t="s">
        <v>44</v>
      </c>
      <c r="B22" s="10" t="s">
        <v>46</v>
      </c>
      <c r="C22" s="10" t="s">
        <v>36</v>
      </c>
      <c r="D22" s="10" t="s">
        <v>37</v>
      </c>
      <c r="E22" s="10" t="s">
        <v>38</v>
      </c>
      <c r="F22" s="10" t="s">
        <v>40</v>
      </c>
      <c r="G22" s="11" t="n">
        <v>620</v>
      </c>
      <c r="H22" s="12" t="n">
        <f aca="false">G22*Parametros!$B$6/Parametros!$B$5</f>
        <v>77.5</v>
      </c>
      <c r="I22" s="13" t="n">
        <f aca="false">H22*Parametros!$B$4</f>
        <v>511.5</v>
      </c>
    </row>
    <row r="23" customFormat="false" ht="15" hidden="false" customHeight="false" outlineLevel="0" collapsed="false">
      <c r="A23" s="10" t="s">
        <v>44</v>
      </c>
      <c r="B23" s="10" t="s">
        <v>46</v>
      </c>
      <c r="C23" s="10" t="s">
        <v>36</v>
      </c>
      <c r="D23" s="10" t="s">
        <v>37</v>
      </c>
      <c r="E23" s="10" t="s">
        <v>38</v>
      </c>
      <c r="F23" s="10" t="s">
        <v>41</v>
      </c>
      <c r="G23" s="11" t="n">
        <v>660</v>
      </c>
      <c r="H23" s="12" t="n">
        <f aca="false">G23*Parametros!$B$6/Parametros!$B$5</f>
        <v>82.5</v>
      </c>
      <c r="I23" s="13" t="n">
        <f aca="false">H23*Parametros!$B$4</f>
        <v>544.5</v>
      </c>
    </row>
    <row r="24" customFormat="false" ht="15" hidden="false" customHeight="false" outlineLevel="0" collapsed="false">
      <c r="A24" s="10" t="s">
        <v>44</v>
      </c>
      <c r="B24" s="10" t="s">
        <v>46</v>
      </c>
      <c r="C24" s="10" t="s">
        <v>36</v>
      </c>
      <c r="D24" s="10" t="s">
        <v>37</v>
      </c>
      <c r="E24" s="10" t="s">
        <v>38</v>
      </c>
      <c r="F24" s="10" t="s">
        <v>42</v>
      </c>
      <c r="G24" s="11" t="n">
        <v>640</v>
      </c>
      <c r="H24" s="12" t="n">
        <f aca="false">G24*Parametros!$B$6/Parametros!$B$5</f>
        <v>80</v>
      </c>
      <c r="I24" s="13" t="n">
        <f aca="false">H24*Parametros!$B$4</f>
        <v>528</v>
      </c>
    </row>
    <row r="25" customFormat="false" ht="15" hidden="false" customHeight="false" outlineLevel="0" collapsed="false">
      <c r="A25" s="10" t="s">
        <v>44</v>
      </c>
      <c r="B25" s="10" t="s">
        <v>46</v>
      </c>
      <c r="C25" s="10" t="s">
        <v>36</v>
      </c>
      <c r="D25" s="10" t="s">
        <v>37</v>
      </c>
      <c r="E25" s="10" t="s">
        <v>38</v>
      </c>
      <c r="F25" s="10" t="s">
        <v>43</v>
      </c>
      <c r="G25" s="11" t="n">
        <v>525</v>
      </c>
      <c r="H25" s="12" t="n">
        <f aca="false">G25*Parametros!$B$6/Parametros!$B$5</f>
        <v>65.625</v>
      </c>
      <c r="I25" s="13" t="n">
        <f aca="false">H25*Parametros!$B$4</f>
        <v>433.125</v>
      </c>
    </row>
    <row r="26" customFormat="false" ht="15" hidden="false" customHeight="false" outlineLevel="0" collapsed="false">
      <c r="A26" s="10" t="s">
        <v>44</v>
      </c>
      <c r="B26" s="10" t="s">
        <v>46</v>
      </c>
      <c r="C26" s="10" t="s">
        <v>36</v>
      </c>
      <c r="D26" s="10" t="s">
        <v>30</v>
      </c>
      <c r="E26" s="10" t="s">
        <v>31</v>
      </c>
      <c r="F26" s="10" t="s">
        <v>31</v>
      </c>
      <c r="G26" s="11" t="n">
        <v>440</v>
      </c>
      <c r="H26" s="12" t="n">
        <f aca="false">G26*Parametros!$B$6/Parametros!$B$5</f>
        <v>55</v>
      </c>
      <c r="I26" s="13" t="n">
        <f aca="false">H26*Parametros!$B$4</f>
        <v>363</v>
      </c>
    </row>
    <row r="27" customFormat="false" ht="15" hidden="false" customHeight="false" outlineLevel="0" collapsed="false">
      <c r="A27" s="10" t="s">
        <v>44</v>
      </c>
      <c r="B27" s="10" t="s">
        <v>46</v>
      </c>
      <c r="C27" s="10" t="s">
        <v>36</v>
      </c>
      <c r="D27" s="10" t="s">
        <v>30</v>
      </c>
      <c r="E27" s="10" t="s">
        <v>31</v>
      </c>
      <c r="F27" s="10" t="s">
        <v>33</v>
      </c>
      <c r="G27" s="11" t="n">
        <v>455</v>
      </c>
      <c r="H27" s="12" t="n">
        <f aca="false">G27*Parametros!$B$6/Parametros!$B$5</f>
        <v>56.875</v>
      </c>
      <c r="I27" s="13" t="n">
        <f aca="false">H27*Parametros!$B$4</f>
        <v>375.375</v>
      </c>
    </row>
    <row r="28" customFormat="false" ht="15" hidden="false" customHeight="false" outlineLevel="0" collapsed="false">
      <c r="A28" s="10" t="s">
        <v>44</v>
      </c>
      <c r="B28" s="10" t="s">
        <v>46</v>
      </c>
      <c r="C28" s="10" t="s">
        <v>36</v>
      </c>
      <c r="D28" s="10" t="s">
        <v>30</v>
      </c>
      <c r="E28" s="10" t="s">
        <v>31</v>
      </c>
      <c r="F28" s="10" t="s">
        <v>34</v>
      </c>
      <c r="G28" s="11" t="n">
        <v>450</v>
      </c>
      <c r="H28" s="12" t="n">
        <f aca="false">G28*Parametros!$B$6/Parametros!$B$5</f>
        <v>56.25</v>
      </c>
      <c r="I28" s="13" t="n">
        <f aca="false">H28*Parametros!$B$4</f>
        <v>371.25</v>
      </c>
    </row>
    <row r="29" customFormat="false" ht="15" hidden="false" customHeight="false" outlineLevel="0" collapsed="false">
      <c r="A29" s="10" t="s">
        <v>44</v>
      </c>
      <c r="B29" s="10" t="s">
        <v>46</v>
      </c>
      <c r="C29" s="10" t="s">
        <v>36</v>
      </c>
      <c r="D29" s="10" t="s">
        <v>30</v>
      </c>
      <c r="E29" s="10" t="s">
        <v>31</v>
      </c>
      <c r="F29" s="10" t="s">
        <v>35</v>
      </c>
      <c r="G29" s="11" t="n">
        <v>570</v>
      </c>
      <c r="H29" s="12" t="n">
        <f aca="false">G29*Parametros!$B$6/Parametros!$B$5</f>
        <v>71.25</v>
      </c>
      <c r="I29" s="13" t="n">
        <f aca="false">H29*Parametros!$B$4</f>
        <v>470.25</v>
      </c>
    </row>
    <row r="30" customFormat="false" ht="15" hidden="false" customHeight="false" outlineLevel="0" collapsed="false">
      <c r="A30" s="10" t="s">
        <v>44</v>
      </c>
      <c r="B30" s="10" t="s">
        <v>46</v>
      </c>
      <c r="C30" s="10" t="s">
        <v>36</v>
      </c>
      <c r="D30" s="10" t="s">
        <v>50</v>
      </c>
      <c r="E30" s="10" t="s">
        <v>51</v>
      </c>
      <c r="F30" s="10" t="s">
        <v>52</v>
      </c>
      <c r="G30" s="11" t="n">
        <v>880</v>
      </c>
      <c r="H30" s="12" t="n">
        <f aca="false">G30*Parametros!$B$6/Parametros!$B$5</f>
        <v>110</v>
      </c>
      <c r="I30" s="13" t="n">
        <f aca="false">H30*Parametros!$B$4</f>
        <v>726</v>
      </c>
    </row>
    <row r="31" customFormat="false" ht="15" hidden="false" customHeight="false" outlineLevel="0" collapsed="false">
      <c r="A31" s="10" t="s">
        <v>44</v>
      </c>
      <c r="B31" s="10" t="s">
        <v>46</v>
      </c>
      <c r="C31" s="10" t="s">
        <v>36</v>
      </c>
      <c r="D31" s="10" t="s">
        <v>50</v>
      </c>
      <c r="E31" s="10" t="s">
        <v>51</v>
      </c>
      <c r="F31" s="10" t="s">
        <v>53</v>
      </c>
      <c r="G31" s="11" t="n">
        <v>930</v>
      </c>
      <c r="H31" s="12" t="n">
        <f aca="false">G31*Parametros!$B$6/Parametros!$B$5</f>
        <v>116.25</v>
      </c>
      <c r="I31" s="13" t="n">
        <f aca="false">H31*Parametros!$B$4</f>
        <v>767.25</v>
      </c>
    </row>
    <row r="32" customFormat="false" ht="15" hidden="false" customHeight="false" outlineLevel="0" collapsed="false">
      <c r="A32" s="10" t="s">
        <v>44</v>
      </c>
      <c r="B32" s="10" t="s">
        <v>46</v>
      </c>
      <c r="C32" s="10" t="s">
        <v>36</v>
      </c>
      <c r="D32" s="10" t="s">
        <v>50</v>
      </c>
      <c r="E32" s="10" t="s">
        <v>51</v>
      </c>
      <c r="F32" s="10" t="s">
        <v>54</v>
      </c>
      <c r="G32" s="11" t="n">
        <v>890</v>
      </c>
      <c r="H32" s="12" t="n">
        <f aca="false">G32*Parametros!$B$6/Parametros!$B$5</f>
        <v>111.25</v>
      </c>
      <c r="I32" s="13" t="n">
        <f aca="false">H32*Parametros!$B$4</f>
        <v>734.25</v>
      </c>
    </row>
    <row r="33" customFormat="false" ht="15" hidden="false" customHeight="false" outlineLevel="0" collapsed="false">
      <c r="A33" s="10" t="s">
        <v>44</v>
      </c>
      <c r="B33" s="10" t="s">
        <v>46</v>
      </c>
      <c r="C33" s="10" t="s">
        <v>36</v>
      </c>
      <c r="D33" s="10" t="s">
        <v>55</v>
      </c>
      <c r="E33" s="10" t="s">
        <v>56</v>
      </c>
      <c r="F33" s="10" t="s">
        <v>57</v>
      </c>
      <c r="G33" s="11" t="n">
        <v>1370</v>
      </c>
      <c r="H33" s="12" t="n">
        <f aca="false">G33*Parametros!$B$6/Parametros!$B$5</f>
        <v>171.25</v>
      </c>
      <c r="I33" s="13" t="n">
        <f aca="false">H33*Parametros!$B$4</f>
        <v>1130.25</v>
      </c>
    </row>
    <row r="34" customFormat="false" ht="15" hidden="false" customHeight="false" outlineLevel="0" collapsed="false">
      <c r="A34" s="10" t="s">
        <v>44</v>
      </c>
      <c r="B34" s="10" t="s">
        <v>46</v>
      </c>
      <c r="C34" s="10" t="s">
        <v>36</v>
      </c>
      <c r="D34" s="10" t="s">
        <v>55</v>
      </c>
      <c r="E34" s="10" t="s">
        <v>56</v>
      </c>
      <c r="F34" s="10" t="s">
        <v>58</v>
      </c>
      <c r="G34" s="11" t="n">
        <v>1270</v>
      </c>
      <c r="H34" s="12" t="n">
        <f aca="false">G34*Parametros!$B$6/Parametros!$B$5</f>
        <v>158.75</v>
      </c>
      <c r="I34" s="13" t="n">
        <f aca="false">H34*Parametros!$B$4</f>
        <v>1047.75</v>
      </c>
    </row>
    <row r="35" customFormat="false" ht="15" hidden="false" customHeight="false" outlineLevel="0" collapsed="false">
      <c r="A35" s="10" t="s">
        <v>44</v>
      </c>
      <c r="B35" s="10" t="s">
        <v>46</v>
      </c>
      <c r="C35" s="10" t="s">
        <v>36</v>
      </c>
      <c r="D35" s="10" t="s">
        <v>55</v>
      </c>
      <c r="E35" s="10" t="s">
        <v>56</v>
      </c>
      <c r="F35" s="10" t="s">
        <v>59</v>
      </c>
      <c r="G35" s="11" t="n">
        <v>850</v>
      </c>
      <c r="H35" s="12" t="n">
        <f aca="false">G35*Parametros!$B$6/Parametros!$B$5</f>
        <v>106.25</v>
      </c>
      <c r="I35" s="13" t="n">
        <f aca="false">H35*Parametros!$B$4</f>
        <v>701.25</v>
      </c>
    </row>
    <row r="36" customFormat="false" ht="15" hidden="false" customHeight="false" outlineLevel="0" collapsed="false">
      <c r="A36" s="10" t="s">
        <v>60</v>
      </c>
      <c r="B36" s="10" t="s">
        <v>61</v>
      </c>
      <c r="C36" s="10" t="s">
        <v>32</v>
      </c>
      <c r="D36" s="10" t="s">
        <v>60</v>
      </c>
      <c r="E36" s="10" t="s">
        <v>62</v>
      </c>
      <c r="F36" s="10" t="s">
        <v>61</v>
      </c>
      <c r="G36" s="11" t="n">
        <v>20</v>
      </c>
      <c r="H36" s="12" t="n">
        <f aca="false">G36*Parametros!$B$6/Parametros!$B$5</f>
        <v>2.5</v>
      </c>
      <c r="I36" s="13" t="n">
        <f aca="false">H36*Parametros!$B$4</f>
        <v>16.5</v>
      </c>
    </row>
    <row r="37" customFormat="false" ht="15" hidden="false" customHeight="false" outlineLevel="0" collapsed="false">
      <c r="A37" s="10" t="s">
        <v>60</v>
      </c>
      <c r="B37" s="10" t="s">
        <v>61</v>
      </c>
      <c r="C37" s="10" t="s">
        <v>32</v>
      </c>
      <c r="D37" s="10" t="s">
        <v>60</v>
      </c>
      <c r="E37" s="10" t="s">
        <v>62</v>
      </c>
      <c r="F37" s="10" t="s">
        <v>63</v>
      </c>
      <c r="G37" s="11" t="n">
        <v>380</v>
      </c>
      <c r="H37" s="12" t="n">
        <f aca="false">G37*Parametros!$B$6/Parametros!$B$5</f>
        <v>47.5</v>
      </c>
      <c r="I37" s="13" t="n">
        <f aca="false">H37*Parametros!$B$4</f>
        <v>313.5</v>
      </c>
    </row>
    <row r="38" customFormat="false" ht="15" hidden="false" customHeight="false" outlineLevel="0" collapsed="false">
      <c r="A38" s="10" t="s">
        <v>60</v>
      </c>
      <c r="B38" s="10" t="s">
        <v>61</v>
      </c>
      <c r="C38" s="10" t="s">
        <v>32</v>
      </c>
      <c r="D38" s="10" t="s">
        <v>60</v>
      </c>
      <c r="E38" s="10" t="s">
        <v>62</v>
      </c>
      <c r="F38" s="10" t="s">
        <v>64</v>
      </c>
      <c r="G38" s="11" t="n">
        <v>430</v>
      </c>
      <c r="H38" s="12" t="n">
        <f aca="false">G38*Parametros!$B$6/Parametros!$B$5</f>
        <v>53.75</v>
      </c>
      <c r="I38" s="13" t="n">
        <f aca="false">H38*Parametros!$B$4</f>
        <v>354.75</v>
      </c>
    </row>
    <row r="39" customFormat="false" ht="15" hidden="false" customHeight="false" outlineLevel="0" collapsed="false">
      <c r="A39" s="10" t="s">
        <v>60</v>
      </c>
      <c r="B39" s="10" t="s">
        <v>61</v>
      </c>
      <c r="C39" s="10" t="s">
        <v>32</v>
      </c>
      <c r="D39" s="10" t="s">
        <v>60</v>
      </c>
      <c r="E39" s="10" t="s">
        <v>62</v>
      </c>
      <c r="F39" s="10" t="s">
        <v>65</v>
      </c>
      <c r="G39" s="11" t="n">
        <v>500</v>
      </c>
      <c r="H39" s="12" t="n">
        <f aca="false">G39*Parametros!$B$6/Parametros!$B$5</f>
        <v>62.5</v>
      </c>
      <c r="I39" s="13" t="n">
        <f aca="false">H39*Parametros!$B$4</f>
        <v>412.5</v>
      </c>
    </row>
    <row r="40" customFormat="false" ht="15" hidden="false" customHeight="false" outlineLevel="0" collapsed="false">
      <c r="A40" s="10" t="s">
        <v>60</v>
      </c>
      <c r="B40" s="10" t="s">
        <v>61</v>
      </c>
      <c r="C40" s="10" t="s">
        <v>36</v>
      </c>
      <c r="D40" s="10" t="s">
        <v>37</v>
      </c>
      <c r="E40" s="10" t="s">
        <v>38</v>
      </c>
      <c r="F40" s="10" t="s">
        <v>38</v>
      </c>
      <c r="G40" s="11" t="n">
        <v>408</v>
      </c>
      <c r="H40" s="12" t="n">
        <f aca="false">G40*Parametros!$B$6/Parametros!$B$5</f>
        <v>51</v>
      </c>
      <c r="I40" s="13" t="n">
        <f aca="false">H40*Parametros!$B$4</f>
        <v>336.6</v>
      </c>
    </row>
    <row r="41" customFormat="false" ht="15" hidden="false" customHeight="false" outlineLevel="0" collapsed="false">
      <c r="A41" s="10" t="s">
        <v>60</v>
      </c>
      <c r="B41" s="10" t="s">
        <v>61</v>
      </c>
      <c r="C41" s="10" t="s">
        <v>36</v>
      </c>
      <c r="D41" s="10" t="s">
        <v>37</v>
      </c>
      <c r="E41" s="10" t="s">
        <v>38</v>
      </c>
      <c r="F41" s="10" t="s">
        <v>39</v>
      </c>
      <c r="G41" s="11" t="n">
        <v>470</v>
      </c>
      <c r="H41" s="12" t="n">
        <f aca="false">G41*Parametros!$B$6/Parametros!$B$5</f>
        <v>58.75</v>
      </c>
      <c r="I41" s="13" t="n">
        <f aca="false">H41*Parametros!$B$4</f>
        <v>387.75</v>
      </c>
    </row>
    <row r="42" customFormat="false" ht="15" hidden="false" customHeight="false" outlineLevel="0" collapsed="false">
      <c r="A42" s="10" t="s">
        <v>60</v>
      </c>
      <c r="B42" s="10" t="s">
        <v>61</v>
      </c>
      <c r="C42" s="10" t="s">
        <v>36</v>
      </c>
      <c r="D42" s="10" t="s">
        <v>37</v>
      </c>
      <c r="E42" s="10" t="s">
        <v>38</v>
      </c>
      <c r="F42" s="10" t="s">
        <v>40</v>
      </c>
      <c r="G42" s="11" t="n">
        <v>690</v>
      </c>
      <c r="H42" s="12" t="n">
        <f aca="false">G42*Parametros!$B$6/Parametros!$B$5</f>
        <v>86.25</v>
      </c>
      <c r="I42" s="13" t="n">
        <f aca="false">H42*Parametros!$B$4</f>
        <v>569.25</v>
      </c>
    </row>
    <row r="43" customFormat="false" ht="15" hidden="false" customHeight="false" outlineLevel="0" collapsed="false">
      <c r="A43" s="10" t="s">
        <v>60</v>
      </c>
      <c r="B43" s="10" t="s">
        <v>61</v>
      </c>
      <c r="C43" s="10" t="s">
        <v>36</v>
      </c>
      <c r="D43" s="10" t="s">
        <v>37</v>
      </c>
      <c r="E43" s="10" t="s">
        <v>38</v>
      </c>
      <c r="F43" s="10" t="s">
        <v>41</v>
      </c>
      <c r="G43" s="11" t="n">
        <v>475</v>
      </c>
      <c r="H43" s="12" t="n">
        <f aca="false">G43*Parametros!$B$6/Parametros!$B$5</f>
        <v>59.375</v>
      </c>
      <c r="I43" s="13" t="n">
        <f aca="false">H43*Parametros!$B$4</f>
        <v>391.875</v>
      </c>
    </row>
    <row r="44" customFormat="false" ht="15" hidden="false" customHeight="false" outlineLevel="0" collapsed="false">
      <c r="A44" s="10" t="s">
        <v>60</v>
      </c>
      <c r="B44" s="10" t="s">
        <v>61</v>
      </c>
      <c r="C44" s="10" t="s">
        <v>36</v>
      </c>
      <c r="D44" s="10" t="s">
        <v>37</v>
      </c>
      <c r="E44" s="10" t="s">
        <v>38</v>
      </c>
      <c r="F44" s="10" t="s">
        <v>42</v>
      </c>
      <c r="G44" s="11" t="n">
        <v>395</v>
      </c>
      <c r="H44" s="12" t="n">
        <f aca="false">G44*Parametros!$B$6/Parametros!$B$5</f>
        <v>49.375</v>
      </c>
      <c r="I44" s="13" t="n">
        <f aca="false">H44*Parametros!$B$4</f>
        <v>325.875</v>
      </c>
    </row>
    <row r="45" customFormat="false" ht="15" hidden="false" customHeight="false" outlineLevel="0" collapsed="false">
      <c r="A45" s="10" t="s">
        <v>60</v>
      </c>
      <c r="B45" s="10" t="s">
        <v>61</v>
      </c>
      <c r="C45" s="10" t="s">
        <v>36</v>
      </c>
      <c r="D45" s="10" t="s">
        <v>37</v>
      </c>
      <c r="E45" s="10" t="s">
        <v>38</v>
      </c>
      <c r="F45" s="10" t="s">
        <v>43</v>
      </c>
      <c r="G45" s="11" t="n">
        <v>500</v>
      </c>
      <c r="H45" s="12" t="n">
        <f aca="false">G45*Parametros!$B$6/Parametros!$B$5</f>
        <v>62.5</v>
      </c>
      <c r="I45" s="13" t="n">
        <f aca="false">H45*Parametros!$B$4</f>
        <v>412.5</v>
      </c>
    </row>
    <row r="46" customFormat="false" ht="15" hidden="false" customHeight="false" outlineLevel="0" collapsed="false">
      <c r="A46" s="10" t="s">
        <v>60</v>
      </c>
      <c r="B46" s="10" t="s">
        <v>61</v>
      </c>
      <c r="C46" s="10" t="s">
        <v>36</v>
      </c>
      <c r="D46" s="10" t="s">
        <v>66</v>
      </c>
      <c r="E46" s="10" t="s">
        <v>67</v>
      </c>
      <c r="F46" s="10" t="s">
        <v>68</v>
      </c>
      <c r="G46" s="11" t="n">
        <v>130</v>
      </c>
      <c r="H46" s="12" t="n">
        <f aca="false">G46*Parametros!$B$6/Parametros!$B$5</f>
        <v>16.25</v>
      </c>
      <c r="I46" s="13" t="n">
        <f aca="false">H46*Parametros!$B$4</f>
        <v>107.25</v>
      </c>
    </row>
    <row r="47" customFormat="false" ht="15" hidden="false" customHeight="false" outlineLevel="0" collapsed="false">
      <c r="A47" s="10" t="s">
        <v>60</v>
      </c>
      <c r="B47" s="10" t="s">
        <v>61</v>
      </c>
      <c r="C47" s="10" t="s">
        <v>36</v>
      </c>
      <c r="D47" s="10" t="s">
        <v>66</v>
      </c>
      <c r="E47" s="10" t="s">
        <v>67</v>
      </c>
      <c r="F47" s="10" t="s">
        <v>69</v>
      </c>
      <c r="G47" s="11" t="n">
        <v>300</v>
      </c>
      <c r="H47" s="12" t="n">
        <f aca="false">G47*Parametros!$B$6/Parametros!$B$5</f>
        <v>37.5</v>
      </c>
      <c r="I47" s="13" t="n">
        <f aca="false">H47*Parametros!$B$4</f>
        <v>247.5</v>
      </c>
    </row>
    <row r="48" customFormat="false" ht="15" hidden="false" customHeight="false" outlineLevel="0" collapsed="false">
      <c r="A48" s="10" t="s">
        <v>60</v>
      </c>
      <c r="B48" s="10" t="s">
        <v>61</v>
      </c>
      <c r="C48" s="10" t="s">
        <v>36</v>
      </c>
      <c r="D48" s="10" t="s">
        <v>66</v>
      </c>
      <c r="E48" s="10" t="s">
        <v>67</v>
      </c>
      <c r="F48" s="10" t="s">
        <v>70</v>
      </c>
      <c r="G48" s="11" t="n">
        <v>230</v>
      </c>
      <c r="H48" s="12" t="n">
        <f aca="false">G48*Parametros!$B$6/Parametros!$B$5</f>
        <v>28.75</v>
      </c>
      <c r="I48" s="13" t="n">
        <f aca="false">H48*Parametros!$B$4</f>
        <v>189.75</v>
      </c>
    </row>
    <row r="49" customFormat="false" ht="15" hidden="false" customHeight="false" outlineLevel="0" collapsed="false">
      <c r="A49" s="10" t="s">
        <v>60</v>
      </c>
      <c r="B49" s="10" t="s">
        <v>61</v>
      </c>
      <c r="C49" s="10" t="s">
        <v>36</v>
      </c>
      <c r="D49" s="10" t="s">
        <v>66</v>
      </c>
      <c r="E49" s="10" t="s">
        <v>67</v>
      </c>
      <c r="F49" s="10" t="s">
        <v>71</v>
      </c>
      <c r="G49" s="11" t="n">
        <v>590</v>
      </c>
      <c r="H49" s="12" t="n">
        <f aca="false">G49*Parametros!$B$6/Parametros!$B$5</f>
        <v>73.75</v>
      </c>
      <c r="I49" s="13" t="n">
        <f aca="false">H49*Parametros!$B$4</f>
        <v>486.75</v>
      </c>
    </row>
    <row r="50" customFormat="false" ht="15" hidden="false" customHeight="false" outlineLevel="0" collapsed="false">
      <c r="A50" s="10" t="s">
        <v>66</v>
      </c>
      <c r="B50" s="10" t="s">
        <v>69</v>
      </c>
      <c r="C50" s="10" t="s">
        <v>32</v>
      </c>
      <c r="D50" s="10" t="s">
        <v>66</v>
      </c>
      <c r="E50" s="10" t="s">
        <v>67</v>
      </c>
      <c r="F50" s="10" t="s">
        <v>68</v>
      </c>
      <c r="G50" s="11" t="n">
        <v>180</v>
      </c>
      <c r="H50" s="12" t="n">
        <f aca="false">G50*Parametros!$B$6/Parametros!$B$5</f>
        <v>22.5</v>
      </c>
      <c r="I50" s="13" t="n">
        <f aca="false">H50*Parametros!$B$4</f>
        <v>148.5</v>
      </c>
    </row>
    <row r="51" customFormat="false" ht="15" hidden="false" customHeight="false" outlineLevel="0" collapsed="false">
      <c r="A51" s="10" t="s">
        <v>66</v>
      </c>
      <c r="B51" s="10" t="s">
        <v>69</v>
      </c>
      <c r="C51" s="10" t="s">
        <v>32</v>
      </c>
      <c r="D51" s="10" t="s">
        <v>66</v>
      </c>
      <c r="E51" s="10" t="s">
        <v>67</v>
      </c>
      <c r="F51" s="10" t="s">
        <v>69</v>
      </c>
      <c r="G51" s="11" t="n">
        <v>20</v>
      </c>
      <c r="H51" s="12" t="n">
        <f aca="false">G51*Parametros!$B$6/Parametros!$B$5</f>
        <v>2.5</v>
      </c>
      <c r="I51" s="13" t="n">
        <f aca="false">H51*Parametros!$B$4</f>
        <v>16.5</v>
      </c>
    </row>
    <row r="52" customFormat="false" ht="15" hidden="false" customHeight="false" outlineLevel="0" collapsed="false">
      <c r="A52" s="10" t="s">
        <v>66</v>
      </c>
      <c r="B52" s="10" t="s">
        <v>69</v>
      </c>
      <c r="C52" s="10" t="s">
        <v>32</v>
      </c>
      <c r="D52" s="10" t="s">
        <v>66</v>
      </c>
      <c r="E52" s="10" t="s">
        <v>67</v>
      </c>
      <c r="F52" s="10" t="s">
        <v>70</v>
      </c>
      <c r="G52" s="11" t="n">
        <v>150</v>
      </c>
      <c r="H52" s="12" t="n">
        <f aca="false">G52*Parametros!$B$6/Parametros!$B$5</f>
        <v>18.75</v>
      </c>
      <c r="I52" s="13" t="n">
        <f aca="false">H52*Parametros!$B$4</f>
        <v>123.75</v>
      </c>
    </row>
    <row r="53" customFormat="false" ht="15" hidden="false" customHeight="false" outlineLevel="0" collapsed="false">
      <c r="A53" s="10" t="s">
        <v>66</v>
      </c>
      <c r="B53" s="10" t="s">
        <v>69</v>
      </c>
      <c r="C53" s="10" t="s">
        <v>32</v>
      </c>
      <c r="D53" s="10" t="s">
        <v>66</v>
      </c>
      <c r="E53" s="10" t="s">
        <v>67</v>
      </c>
      <c r="F53" s="10" t="s">
        <v>71</v>
      </c>
      <c r="G53" s="11" t="n">
        <v>545</v>
      </c>
      <c r="H53" s="12" t="n">
        <f aca="false">G53*Parametros!$B$6/Parametros!$B$5</f>
        <v>68.125</v>
      </c>
      <c r="I53" s="13" t="n">
        <f aca="false">H53*Parametros!$B$4</f>
        <v>449.625</v>
      </c>
    </row>
    <row r="54" customFormat="false" ht="15" hidden="false" customHeight="false" outlineLevel="0" collapsed="false">
      <c r="A54" s="10" t="s">
        <v>66</v>
      </c>
      <c r="B54" s="10" t="s">
        <v>69</v>
      </c>
      <c r="C54" s="10" t="s">
        <v>36</v>
      </c>
      <c r="D54" s="10" t="s">
        <v>60</v>
      </c>
      <c r="E54" s="10" t="s">
        <v>62</v>
      </c>
      <c r="F54" s="10" t="s">
        <v>61</v>
      </c>
      <c r="G54" s="11" t="n">
        <v>300</v>
      </c>
      <c r="H54" s="12" t="n">
        <f aca="false">G54*Parametros!$B$6/Parametros!$B$5</f>
        <v>37.5</v>
      </c>
      <c r="I54" s="13" t="n">
        <f aca="false">H54*Parametros!$B$4</f>
        <v>247.5</v>
      </c>
    </row>
    <row r="55" customFormat="false" ht="15" hidden="false" customHeight="false" outlineLevel="0" collapsed="false">
      <c r="A55" s="10" t="s">
        <v>66</v>
      </c>
      <c r="B55" s="10" t="s">
        <v>69</v>
      </c>
      <c r="C55" s="10" t="s">
        <v>36</v>
      </c>
      <c r="D55" s="10" t="s">
        <v>60</v>
      </c>
      <c r="E55" s="10" t="s">
        <v>62</v>
      </c>
      <c r="F55" s="10" t="s">
        <v>63</v>
      </c>
      <c r="G55" s="11" t="n">
        <v>680</v>
      </c>
      <c r="H55" s="12" t="n">
        <f aca="false">G55*Parametros!$B$6/Parametros!$B$5</f>
        <v>85</v>
      </c>
      <c r="I55" s="13" t="n">
        <f aca="false">H55*Parametros!$B$4</f>
        <v>561</v>
      </c>
    </row>
    <row r="56" customFormat="false" ht="15" hidden="false" customHeight="false" outlineLevel="0" collapsed="false">
      <c r="A56" s="10" t="s">
        <v>66</v>
      </c>
      <c r="B56" s="10" t="s">
        <v>69</v>
      </c>
      <c r="C56" s="10" t="s">
        <v>36</v>
      </c>
      <c r="D56" s="10" t="s">
        <v>60</v>
      </c>
      <c r="E56" s="10" t="s">
        <v>62</v>
      </c>
      <c r="F56" s="10" t="s">
        <v>64</v>
      </c>
      <c r="G56" s="11" t="n">
        <v>730</v>
      </c>
      <c r="H56" s="12" t="n">
        <f aca="false">G56*Parametros!$B$6/Parametros!$B$5</f>
        <v>91.25</v>
      </c>
      <c r="I56" s="13" t="n">
        <f aca="false">H56*Parametros!$B$4</f>
        <v>602.25</v>
      </c>
    </row>
    <row r="57" customFormat="false" ht="15" hidden="false" customHeight="false" outlineLevel="0" collapsed="false">
      <c r="A57" s="10" t="s">
        <v>66</v>
      </c>
      <c r="B57" s="10" t="s">
        <v>69</v>
      </c>
      <c r="C57" s="10" t="s">
        <v>36</v>
      </c>
      <c r="D57" s="10" t="s">
        <v>60</v>
      </c>
      <c r="E57" s="10" t="s">
        <v>62</v>
      </c>
      <c r="F57" s="10" t="s">
        <v>65</v>
      </c>
      <c r="G57" s="11" t="n">
        <v>720</v>
      </c>
      <c r="H57" s="12" t="n">
        <f aca="false">G57*Parametros!$B$6/Parametros!$B$5</f>
        <v>90</v>
      </c>
      <c r="I57" s="13" t="n">
        <f aca="false">H57*Parametros!$B$4</f>
        <v>594</v>
      </c>
    </row>
    <row r="58" customFormat="false" ht="15" hidden="false" customHeight="false" outlineLevel="0" collapsed="false">
      <c r="A58" s="10" t="s">
        <v>66</v>
      </c>
      <c r="B58" s="10" t="s">
        <v>69</v>
      </c>
      <c r="C58" s="10" t="s">
        <v>36</v>
      </c>
      <c r="D58" s="10" t="s">
        <v>72</v>
      </c>
      <c r="E58" s="10" t="s">
        <v>73</v>
      </c>
      <c r="F58" s="10" t="s">
        <v>74</v>
      </c>
      <c r="G58" s="11" t="n">
        <v>475</v>
      </c>
      <c r="H58" s="12" t="n">
        <f aca="false">G58*Parametros!$B$6/Parametros!$B$5</f>
        <v>59.375</v>
      </c>
      <c r="I58" s="13" t="n">
        <f aca="false">H58*Parametros!$B$4</f>
        <v>391.875</v>
      </c>
    </row>
    <row r="59" customFormat="false" ht="15" hidden="false" customHeight="false" outlineLevel="0" collapsed="false">
      <c r="A59" s="10" t="s">
        <v>66</v>
      </c>
      <c r="B59" s="10" t="s">
        <v>69</v>
      </c>
      <c r="C59" s="10" t="s">
        <v>36</v>
      </c>
      <c r="D59" s="10" t="s">
        <v>72</v>
      </c>
      <c r="E59" s="10" t="s">
        <v>73</v>
      </c>
      <c r="F59" s="10" t="s">
        <v>75</v>
      </c>
      <c r="G59" s="11" t="n">
        <v>430</v>
      </c>
      <c r="H59" s="12" t="n">
        <f aca="false">G59*Parametros!$B$6/Parametros!$B$5</f>
        <v>53.75</v>
      </c>
      <c r="I59" s="13" t="n">
        <f aca="false">H59*Parametros!$B$4</f>
        <v>354.75</v>
      </c>
    </row>
    <row r="60" customFormat="false" ht="15" hidden="false" customHeight="false" outlineLevel="0" collapsed="false">
      <c r="A60" s="10" t="s">
        <v>66</v>
      </c>
      <c r="B60" s="10" t="s">
        <v>69</v>
      </c>
      <c r="C60" s="10" t="s">
        <v>36</v>
      </c>
      <c r="D60" s="10" t="s">
        <v>72</v>
      </c>
      <c r="E60" s="10" t="s">
        <v>73</v>
      </c>
      <c r="F60" s="10" t="s">
        <v>76</v>
      </c>
      <c r="G60" s="11" t="n">
        <v>700</v>
      </c>
      <c r="H60" s="12" t="n">
        <f aca="false">G60*Parametros!$B$6/Parametros!$B$5</f>
        <v>87.5</v>
      </c>
      <c r="I60" s="13" t="n">
        <f aca="false">H60*Parametros!$B$4</f>
        <v>577.5</v>
      </c>
    </row>
    <row r="61" customFormat="false" ht="15" hidden="false" customHeight="false" outlineLevel="0" collapsed="false">
      <c r="A61" s="10" t="s">
        <v>66</v>
      </c>
      <c r="B61" s="10" t="s">
        <v>69</v>
      </c>
      <c r="C61" s="10" t="s">
        <v>36</v>
      </c>
      <c r="D61" s="10" t="s">
        <v>72</v>
      </c>
      <c r="E61" s="10" t="s">
        <v>73</v>
      </c>
      <c r="F61" s="10" t="s">
        <v>77</v>
      </c>
      <c r="G61" s="11" t="n">
        <v>720</v>
      </c>
      <c r="H61" s="12" t="n">
        <f aca="false">G61*Parametros!$B$6/Parametros!$B$5</f>
        <v>90</v>
      </c>
      <c r="I61" s="13" t="n">
        <f aca="false">H61*Parametros!$B$4</f>
        <v>594</v>
      </c>
    </row>
    <row r="62" customFormat="false" ht="15" hidden="false" customHeight="false" outlineLevel="0" collapsed="false">
      <c r="A62" s="10" t="s">
        <v>55</v>
      </c>
      <c r="B62" s="10" t="s">
        <v>57</v>
      </c>
      <c r="C62" s="10" t="s">
        <v>32</v>
      </c>
      <c r="D62" s="10" t="s">
        <v>55</v>
      </c>
      <c r="E62" s="10" t="s">
        <v>56</v>
      </c>
      <c r="F62" s="10" t="s">
        <v>57</v>
      </c>
      <c r="G62" s="11" t="n">
        <v>20</v>
      </c>
      <c r="H62" s="12" t="n">
        <f aca="false">G62*Parametros!$B$6/Parametros!$B$5</f>
        <v>2.5</v>
      </c>
      <c r="I62" s="13" t="n">
        <f aca="false">H62*Parametros!$B$4</f>
        <v>16.5</v>
      </c>
    </row>
    <row r="63" customFormat="false" ht="15" hidden="false" customHeight="false" outlineLevel="0" collapsed="false">
      <c r="A63" s="10" t="s">
        <v>55</v>
      </c>
      <c r="B63" s="10" t="s">
        <v>57</v>
      </c>
      <c r="C63" s="10" t="s">
        <v>32</v>
      </c>
      <c r="D63" s="10" t="s">
        <v>55</v>
      </c>
      <c r="E63" s="10" t="s">
        <v>56</v>
      </c>
      <c r="F63" s="10" t="s">
        <v>58</v>
      </c>
      <c r="G63" s="11" t="n">
        <v>110</v>
      </c>
      <c r="H63" s="12" t="n">
        <f aca="false">G63*Parametros!$B$6/Parametros!$B$5</f>
        <v>13.75</v>
      </c>
      <c r="I63" s="13" t="n">
        <f aca="false">H63*Parametros!$B$4</f>
        <v>90.75</v>
      </c>
    </row>
    <row r="64" customFormat="false" ht="15" hidden="false" customHeight="false" outlineLevel="0" collapsed="false">
      <c r="A64" s="10" t="s">
        <v>55</v>
      </c>
      <c r="B64" s="10" t="s">
        <v>57</v>
      </c>
      <c r="C64" s="10" t="s">
        <v>32</v>
      </c>
      <c r="D64" s="10" t="s">
        <v>55</v>
      </c>
      <c r="E64" s="10" t="s">
        <v>56</v>
      </c>
      <c r="F64" s="10" t="s">
        <v>59</v>
      </c>
      <c r="G64" s="11" t="n">
        <v>510</v>
      </c>
      <c r="H64" s="12" t="n">
        <f aca="false">G64*Parametros!$B$6/Parametros!$B$5</f>
        <v>63.75</v>
      </c>
      <c r="I64" s="13" t="n">
        <f aca="false">H64*Parametros!$B$4</f>
        <v>420.75</v>
      </c>
    </row>
    <row r="65" customFormat="false" ht="15" hidden="false" customHeight="false" outlineLevel="0" collapsed="false">
      <c r="A65" s="10" t="s">
        <v>55</v>
      </c>
      <c r="B65" s="10" t="s">
        <v>57</v>
      </c>
      <c r="C65" s="10" t="s">
        <v>36</v>
      </c>
      <c r="D65" s="10" t="s">
        <v>44</v>
      </c>
      <c r="E65" s="10" t="s">
        <v>45</v>
      </c>
      <c r="F65" s="10" t="s">
        <v>46</v>
      </c>
      <c r="G65" s="11" t="n">
        <v>1370</v>
      </c>
      <c r="H65" s="12" t="n">
        <f aca="false">G65*Parametros!$B$6/Parametros!$B$5</f>
        <v>171.25</v>
      </c>
      <c r="I65" s="13" t="n">
        <f aca="false">H65*Parametros!$B$4</f>
        <v>1130.25</v>
      </c>
    </row>
    <row r="66" customFormat="false" ht="15" hidden="false" customHeight="false" outlineLevel="0" collapsed="false">
      <c r="A66" s="10" t="s">
        <v>55</v>
      </c>
      <c r="B66" s="10" t="s">
        <v>57</v>
      </c>
      <c r="C66" s="10" t="s">
        <v>36</v>
      </c>
      <c r="D66" s="10" t="s">
        <v>44</v>
      </c>
      <c r="E66" s="10" t="s">
        <v>45</v>
      </c>
      <c r="F66" s="10" t="s">
        <v>47</v>
      </c>
      <c r="G66" s="11" t="n">
        <v>1700</v>
      </c>
      <c r="H66" s="12" t="n">
        <f aca="false">G66*Parametros!$B$6/Parametros!$B$5</f>
        <v>212.5</v>
      </c>
      <c r="I66" s="13" t="n">
        <f aca="false">H66*Parametros!$B$4</f>
        <v>1402.5</v>
      </c>
    </row>
    <row r="67" customFormat="false" ht="15" hidden="false" customHeight="false" outlineLevel="0" collapsed="false">
      <c r="A67" s="10" t="s">
        <v>55</v>
      </c>
      <c r="B67" s="10" t="s">
        <v>57</v>
      </c>
      <c r="C67" s="10" t="s">
        <v>36</v>
      </c>
      <c r="D67" s="10" t="s">
        <v>44</v>
      </c>
      <c r="E67" s="10" t="s">
        <v>45</v>
      </c>
      <c r="F67" s="10" t="s">
        <v>48</v>
      </c>
      <c r="G67" s="11" t="n">
        <v>1640</v>
      </c>
      <c r="H67" s="12" t="n">
        <f aca="false">G67*Parametros!$B$6/Parametros!$B$5</f>
        <v>205</v>
      </c>
      <c r="I67" s="13" t="n">
        <f aca="false">H67*Parametros!$B$4</f>
        <v>1353</v>
      </c>
    </row>
    <row r="68" customFormat="false" ht="15" hidden="false" customHeight="false" outlineLevel="0" collapsed="false">
      <c r="A68" s="10" t="s">
        <v>55</v>
      </c>
      <c r="B68" s="10" t="s">
        <v>57</v>
      </c>
      <c r="C68" s="10" t="s">
        <v>36</v>
      </c>
      <c r="D68" s="10" t="s">
        <v>44</v>
      </c>
      <c r="E68" s="10" t="s">
        <v>45</v>
      </c>
      <c r="F68" s="10" t="s">
        <v>49</v>
      </c>
      <c r="G68" s="11" t="n">
        <v>1380</v>
      </c>
      <c r="H68" s="12" t="n">
        <f aca="false">G68*Parametros!$B$6/Parametros!$B$5</f>
        <v>172.5</v>
      </c>
      <c r="I68" s="13" t="n">
        <f aca="false">H68*Parametros!$B$4</f>
        <v>1138.5</v>
      </c>
    </row>
    <row r="69" customFormat="false" ht="15" hidden="false" customHeight="false" outlineLevel="0" collapsed="false">
      <c r="A69" s="10" t="s">
        <v>55</v>
      </c>
      <c r="B69" s="10" t="s">
        <v>57</v>
      </c>
      <c r="C69" s="10" t="s">
        <v>36</v>
      </c>
      <c r="D69" s="10" t="s">
        <v>50</v>
      </c>
      <c r="E69" s="10" t="s">
        <v>51</v>
      </c>
      <c r="F69" s="10" t="s">
        <v>52</v>
      </c>
      <c r="G69" s="11" t="n">
        <v>1640</v>
      </c>
      <c r="H69" s="12" t="n">
        <f aca="false">G69*Parametros!$B$6/Parametros!$B$5</f>
        <v>205</v>
      </c>
      <c r="I69" s="13" t="n">
        <f aca="false">H69*Parametros!$B$4</f>
        <v>1353</v>
      </c>
    </row>
    <row r="70" customFormat="false" ht="15" hidden="false" customHeight="false" outlineLevel="0" collapsed="false">
      <c r="A70" s="10" t="s">
        <v>55</v>
      </c>
      <c r="B70" s="10" t="s">
        <v>57</v>
      </c>
      <c r="C70" s="10" t="s">
        <v>36</v>
      </c>
      <c r="D70" s="10" t="s">
        <v>50</v>
      </c>
      <c r="E70" s="10" t="s">
        <v>51</v>
      </c>
      <c r="F70" s="10" t="s">
        <v>53</v>
      </c>
      <c r="G70" s="11" t="n">
        <v>1570</v>
      </c>
      <c r="H70" s="12" t="n">
        <f aca="false">G70*Parametros!$B$6/Parametros!$B$5</f>
        <v>196.25</v>
      </c>
      <c r="I70" s="13" t="n">
        <f aca="false">H70*Parametros!$B$4</f>
        <v>1295.25</v>
      </c>
    </row>
    <row r="71" customFormat="false" ht="15" hidden="false" customHeight="false" outlineLevel="0" collapsed="false">
      <c r="A71" s="10" t="s">
        <v>55</v>
      </c>
      <c r="B71" s="10" t="s">
        <v>57</v>
      </c>
      <c r="C71" s="10" t="s">
        <v>36</v>
      </c>
      <c r="D71" s="10" t="s">
        <v>50</v>
      </c>
      <c r="E71" s="10" t="s">
        <v>51</v>
      </c>
      <c r="F71" s="10" t="s">
        <v>54</v>
      </c>
      <c r="G71" s="11" t="n">
        <v>1850</v>
      </c>
      <c r="H71" s="12" t="n">
        <f aca="false">G71*Parametros!$B$6/Parametros!$B$5</f>
        <v>231.25</v>
      </c>
      <c r="I71" s="13" t="n">
        <f aca="false">H71*Parametros!$B$4</f>
        <v>1526.25</v>
      </c>
    </row>
    <row r="72" customFormat="false" ht="15" hidden="false" customHeight="false" outlineLevel="0" collapsed="false">
      <c r="A72" s="10" t="s">
        <v>55</v>
      </c>
      <c r="B72" s="10" t="s">
        <v>57</v>
      </c>
      <c r="C72" s="10" t="s">
        <v>36</v>
      </c>
      <c r="D72" s="10" t="s">
        <v>78</v>
      </c>
      <c r="E72" s="10" t="s">
        <v>79</v>
      </c>
      <c r="F72" s="10" t="s">
        <v>80</v>
      </c>
      <c r="G72" s="11" t="n">
        <v>800</v>
      </c>
      <c r="H72" s="12" t="n">
        <f aca="false">G72*Parametros!$B$6/Parametros!$B$5</f>
        <v>100</v>
      </c>
      <c r="I72" s="13" t="n">
        <f aca="false">H72*Parametros!$B$4</f>
        <v>660</v>
      </c>
    </row>
    <row r="73" customFormat="false" ht="15" hidden="false" customHeight="false" outlineLevel="0" collapsed="false">
      <c r="A73" s="10" t="s">
        <v>55</v>
      </c>
      <c r="B73" s="10" t="s">
        <v>57</v>
      </c>
      <c r="C73" s="10" t="s">
        <v>36</v>
      </c>
      <c r="D73" s="10" t="s">
        <v>78</v>
      </c>
      <c r="E73" s="10" t="s">
        <v>79</v>
      </c>
      <c r="F73" s="10" t="s">
        <v>81</v>
      </c>
      <c r="G73" s="11" t="n">
        <v>760</v>
      </c>
      <c r="H73" s="12" t="n">
        <f aca="false">G73*Parametros!$B$6/Parametros!$B$5</f>
        <v>95</v>
      </c>
      <c r="I73" s="13" t="n">
        <f aca="false">H73*Parametros!$B$4</f>
        <v>627</v>
      </c>
    </row>
    <row r="74" customFormat="false" ht="15" hidden="false" customHeight="false" outlineLevel="0" collapsed="false">
      <c r="A74" s="10" t="s">
        <v>55</v>
      </c>
      <c r="B74" s="10" t="s">
        <v>57</v>
      </c>
      <c r="C74" s="10" t="s">
        <v>36</v>
      </c>
      <c r="D74" s="10" t="s">
        <v>78</v>
      </c>
      <c r="E74" s="10" t="s">
        <v>79</v>
      </c>
      <c r="F74" s="10" t="s">
        <v>82</v>
      </c>
      <c r="G74" s="11" t="n">
        <v>560</v>
      </c>
      <c r="H74" s="12" t="n">
        <f aca="false">G74*Parametros!$B$6/Parametros!$B$5</f>
        <v>70</v>
      </c>
      <c r="I74" s="13" t="n">
        <f aca="false">H74*Parametros!$B$4</f>
        <v>462</v>
      </c>
    </row>
    <row r="75" customFormat="false" ht="15" hidden="false" customHeight="false" outlineLevel="0" collapsed="false">
      <c r="A75" s="10" t="s">
        <v>50</v>
      </c>
      <c r="B75" s="10" t="s">
        <v>52</v>
      </c>
      <c r="C75" s="10" t="s">
        <v>32</v>
      </c>
      <c r="D75" s="10" t="s">
        <v>50</v>
      </c>
      <c r="E75" s="10" t="s">
        <v>51</v>
      </c>
      <c r="F75" s="10" t="s">
        <v>52</v>
      </c>
      <c r="G75" s="11" t="n">
        <v>20</v>
      </c>
      <c r="H75" s="12" t="n">
        <f aca="false">G75*Parametros!$B$6/Parametros!$B$5</f>
        <v>2.5</v>
      </c>
      <c r="I75" s="13" t="n">
        <f aca="false">H75*Parametros!$B$4</f>
        <v>16.5</v>
      </c>
    </row>
    <row r="76" customFormat="false" ht="15" hidden="false" customHeight="false" outlineLevel="0" collapsed="false">
      <c r="A76" s="10" t="s">
        <v>50</v>
      </c>
      <c r="B76" s="10" t="s">
        <v>52</v>
      </c>
      <c r="C76" s="10" t="s">
        <v>32</v>
      </c>
      <c r="D76" s="10" t="s">
        <v>50</v>
      </c>
      <c r="E76" s="10" t="s">
        <v>51</v>
      </c>
      <c r="F76" s="10" t="s">
        <v>53</v>
      </c>
      <c r="G76" s="11" t="n">
        <v>55</v>
      </c>
      <c r="H76" s="12" t="n">
        <f aca="false">G76*Parametros!$B$6/Parametros!$B$5</f>
        <v>6.875</v>
      </c>
      <c r="I76" s="13" t="n">
        <f aca="false">H76*Parametros!$B$4</f>
        <v>45.375</v>
      </c>
    </row>
    <row r="77" customFormat="false" ht="15" hidden="false" customHeight="false" outlineLevel="0" collapsed="false">
      <c r="A77" s="10" t="s">
        <v>50</v>
      </c>
      <c r="B77" s="10" t="s">
        <v>52</v>
      </c>
      <c r="C77" s="10" t="s">
        <v>32</v>
      </c>
      <c r="D77" s="10" t="s">
        <v>50</v>
      </c>
      <c r="E77" s="10" t="s">
        <v>51</v>
      </c>
      <c r="F77" s="10" t="s">
        <v>54</v>
      </c>
      <c r="G77" s="11" t="n">
        <v>230</v>
      </c>
      <c r="H77" s="12" t="n">
        <f aca="false">G77*Parametros!$B$6/Parametros!$B$5</f>
        <v>28.75</v>
      </c>
      <c r="I77" s="13" t="n">
        <f aca="false">H77*Parametros!$B$4</f>
        <v>189.75</v>
      </c>
    </row>
    <row r="78" customFormat="false" ht="15" hidden="false" customHeight="false" outlineLevel="0" collapsed="false">
      <c r="A78" s="10" t="s">
        <v>50</v>
      </c>
      <c r="B78" s="10" t="s">
        <v>52</v>
      </c>
      <c r="C78" s="10" t="s">
        <v>36</v>
      </c>
      <c r="D78" s="10" t="s">
        <v>44</v>
      </c>
      <c r="E78" s="10" t="s">
        <v>45</v>
      </c>
      <c r="F78" s="10" t="s">
        <v>46</v>
      </c>
      <c r="G78" s="11" t="n">
        <v>880</v>
      </c>
      <c r="H78" s="12" t="n">
        <f aca="false">G78*Parametros!$B$6/Parametros!$B$5</f>
        <v>110</v>
      </c>
      <c r="I78" s="13" t="n">
        <f aca="false">H78*Parametros!$B$4</f>
        <v>726</v>
      </c>
    </row>
    <row r="79" customFormat="false" ht="15" hidden="false" customHeight="false" outlineLevel="0" collapsed="false">
      <c r="A79" s="10" t="s">
        <v>50</v>
      </c>
      <c r="B79" s="10" t="s">
        <v>52</v>
      </c>
      <c r="C79" s="10" t="s">
        <v>36</v>
      </c>
      <c r="D79" s="10" t="s">
        <v>44</v>
      </c>
      <c r="E79" s="10" t="s">
        <v>45</v>
      </c>
      <c r="F79" s="10" t="s">
        <v>47</v>
      </c>
      <c r="G79" s="11" t="n">
        <v>340</v>
      </c>
      <c r="H79" s="12" t="n">
        <f aca="false">G79*Parametros!$B$6/Parametros!$B$5</f>
        <v>42.5</v>
      </c>
      <c r="I79" s="13" t="n">
        <f aca="false">H79*Parametros!$B$4</f>
        <v>280.5</v>
      </c>
    </row>
    <row r="80" customFormat="false" ht="15" hidden="false" customHeight="false" outlineLevel="0" collapsed="false">
      <c r="A80" s="10" t="s">
        <v>50</v>
      </c>
      <c r="B80" s="10" t="s">
        <v>52</v>
      </c>
      <c r="C80" s="10" t="s">
        <v>36</v>
      </c>
      <c r="D80" s="10" t="s">
        <v>44</v>
      </c>
      <c r="E80" s="10" t="s">
        <v>45</v>
      </c>
      <c r="F80" s="10" t="s">
        <v>48</v>
      </c>
      <c r="G80" s="11" t="n">
        <v>1150</v>
      </c>
      <c r="H80" s="12" t="n">
        <f aca="false">G80*Parametros!$B$6/Parametros!$B$5</f>
        <v>143.75</v>
      </c>
      <c r="I80" s="13" t="n">
        <f aca="false">H80*Parametros!$B$4</f>
        <v>948.75</v>
      </c>
    </row>
    <row r="81" customFormat="false" ht="15" hidden="false" customHeight="false" outlineLevel="0" collapsed="false">
      <c r="A81" s="10" t="s">
        <v>50</v>
      </c>
      <c r="B81" s="10" t="s">
        <v>52</v>
      </c>
      <c r="C81" s="10" t="s">
        <v>36</v>
      </c>
      <c r="D81" s="10" t="s">
        <v>44</v>
      </c>
      <c r="E81" s="10" t="s">
        <v>45</v>
      </c>
      <c r="F81" s="10" t="s">
        <v>49</v>
      </c>
      <c r="G81" s="11" t="n">
        <v>900</v>
      </c>
      <c r="H81" s="12" t="n">
        <f aca="false">G81*Parametros!$B$6/Parametros!$B$5</f>
        <v>112.5</v>
      </c>
      <c r="I81" s="13" t="n">
        <f aca="false">H81*Parametros!$B$4</f>
        <v>742.5</v>
      </c>
    </row>
    <row r="82" customFormat="false" ht="15" hidden="false" customHeight="false" outlineLevel="0" collapsed="false">
      <c r="A82" s="10" t="s">
        <v>50</v>
      </c>
      <c r="B82" s="10" t="s">
        <v>52</v>
      </c>
      <c r="C82" s="10" t="s">
        <v>36</v>
      </c>
      <c r="D82" s="10" t="s">
        <v>55</v>
      </c>
      <c r="E82" s="10" t="s">
        <v>56</v>
      </c>
      <c r="F82" s="10" t="s">
        <v>57</v>
      </c>
      <c r="G82" s="11" t="n">
        <v>1640</v>
      </c>
      <c r="H82" s="12" t="n">
        <f aca="false">G82*Parametros!$B$6/Parametros!$B$5</f>
        <v>205</v>
      </c>
      <c r="I82" s="13" t="n">
        <f aca="false">H82*Parametros!$B$4</f>
        <v>1353</v>
      </c>
    </row>
    <row r="83" customFormat="false" ht="15" hidden="false" customHeight="false" outlineLevel="0" collapsed="false">
      <c r="A83" s="10" t="s">
        <v>50</v>
      </c>
      <c r="B83" s="10" t="s">
        <v>52</v>
      </c>
      <c r="C83" s="10" t="s">
        <v>36</v>
      </c>
      <c r="D83" s="10" t="s">
        <v>55</v>
      </c>
      <c r="E83" s="10" t="s">
        <v>56</v>
      </c>
      <c r="F83" s="10" t="s">
        <v>58</v>
      </c>
      <c r="G83" s="11" t="n">
        <v>1550</v>
      </c>
      <c r="H83" s="12" t="n">
        <f aca="false">G83*Parametros!$B$6/Parametros!$B$5</f>
        <v>193.75</v>
      </c>
      <c r="I83" s="13" t="n">
        <f aca="false">H83*Parametros!$B$4</f>
        <v>1278.75</v>
      </c>
    </row>
    <row r="84" customFormat="false" ht="15" hidden="false" customHeight="false" outlineLevel="0" collapsed="false">
      <c r="A84" s="10" t="s">
        <v>50</v>
      </c>
      <c r="B84" s="10" t="s">
        <v>52</v>
      </c>
      <c r="C84" s="10" t="s">
        <v>36</v>
      </c>
      <c r="D84" s="10" t="s">
        <v>55</v>
      </c>
      <c r="E84" s="10" t="s">
        <v>56</v>
      </c>
      <c r="F84" s="10" t="s">
        <v>59</v>
      </c>
      <c r="G84" s="11" t="n">
        <v>1300</v>
      </c>
      <c r="H84" s="12" t="n">
        <f aca="false">G84*Parametros!$B$6/Parametros!$B$5</f>
        <v>162.5</v>
      </c>
      <c r="I84" s="13" t="n">
        <f aca="false">H84*Parametros!$B$4</f>
        <v>1072.5</v>
      </c>
    </row>
    <row r="85" customFormat="false" ht="15" hidden="false" customHeight="false" outlineLevel="0" collapsed="false">
      <c r="A85" s="10" t="s">
        <v>78</v>
      </c>
      <c r="B85" s="10" t="s">
        <v>80</v>
      </c>
      <c r="C85" s="10" t="s">
        <v>32</v>
      </c>
      <c r="D85" s="10" t="s">
        <v>78</v>
      </c>
      <c r="E85" s="10" t="s">
        <v>79</v>
      </c>
      <c r="F85" s="10" t="s">
        <v>80</v>
      </c>
      <c r="G85" s="11" t="n">
        <v>20</v>
      </c>
      <c r="H85" s="12" t="n">
        <f aca="false">G85*Parametros!$B$6/Parametros!$B$5</f>
        <v>2.5</v>
      </c>
      <c r="I85" s="13" t="n">
        <f aca="false">H85*Parametros!$B$4</f>
        <v>16.5</v>
      </c>
    </row>
    <row r="86" customFormat="false" ht="15" hidden="false" customHeight="false" outlineLevel="0" collapsed="false">
      <c r="A86" s="10" t="s">
        <v>78</v>
      </c>
      <c r="B86" s="10" t="s">
        <v>80</v>
      </c>
      <c r="C86" s="10" t="s">
        <v>32</v>
      </c>
      <c r="D86" s="10" t="s">
        <v>78</v>
      </c>
      <c r="E86" s="10" t="s">
        <v>79</v>
      </c>
      <c r="F86" s="10" t="s">
        <v>81</v>
      </c>
      <c r="G86" s="11" t="n">
        <v>135</v>
      </c>
      <c r="H86" s="12" t="n">
        <f aca="false">G86*Parametros!$B$6/Parametros!$B$5</f>
        <v>16.875</v>
      </c>
      <c r="I86" s="13" t="n">
        <f aca="false">H86*Parametros!$B$4</f>
        <v>111.375</v>
      </c>
    </row>
    <row r="87" customFormat="false" ht="15" hidden="false" customHeight="false" outlineLevel="0" collapsed="false">
      <c r="A87" s="10" t="s">
        <v>78</v>
      </c>
      <c r="B87" s="10" t="s">
        <v>80</v>
      </c>
      <c r="C87" s="10" t="s">
        <v>32</v>
      </c>
      <c r="D87" s="10" t="s">
        <v>78</v>
      </c>
      <c r="E87" s="10" t="s">
        <v>79</v>
      </c>
      <c r="F87" s="10" t="s">
        <v>82</v>
      </c>
      <c r="G87" s="11" t="n">
        <v>720</v>
      </c>
      <c r="H87" s="12" t="n">
        <f aca="false">G87*Parametros!$B$6/Parametros!$B$5</f>
        <v>90</v>
      </c>
      <c r="I87" s="13" t="n">
        <f aca="false">H87*Parametros!$B$4</f>
        <v>594</v>
      </c>
    </row>
    <row r="88" customFormat="false" ht="15" hidden="false" customHeight="false" outlineLevel="0" collapsed="false">
      <c r="A88" s="10" t="s">
        <v>78</v>
      </c>
      <c r="B88" s="10" t="s">
        <v>80</v>
      </c>
      <c r="C88" s="10" t="s">
        <v>36</v>
      </c>
      <c r="D88" s="10" t="s">
        <v>55</v>
      </c>
      <c r="E88" s="10" t="s">
        <v>56</v>
      </c>
      <c r="F88" s="10" t="s">
        <v>57</v>
      </c>
      <c r="G88" s="11" t="n">
        <v>800</v>
      </c>
      <c r="H88" s="12" t="n">
        <f aca="false">G88*Parametros!$B$6/Parametros!$B$5</f>
        <v>100</v>
      </c>
      <c r="I88" s="13" t="n">
        <f aca="false">H88*Parametros!$B$4</f>
        <v>660</v>
      </c>
    </row>
    <row r="89" customFormat="false" ht="15" hidden="false" customHeight="false" outlineLevel="0" collapsed="false">
      <c r="A89" s="10" t="s">
        <v>78</v>
      </c>
      <c r="B89" s="10" t="s">
        <v>80</v>
      </c>
      <c r="C89" s="10" t="s">
        <v>36</v>
      </c>
      <c r="D89" s="10" t="s">
        <v>55</v>
      </c>
      <c r="E89" s="10" t="s">
        <v>56</v>
      </c>
      <c r="F89" s="10" t="s">
        <v>58</v>
      </c>
      <c r="G89" s="11" t="n">
        <v>710</v>
      </c>
      <c r="H89" s="12" t="n">
        <f aca="false">G89*Parametros!$B$6/Parametros!$B$5</f>
        <v>88.75</v>
      </c>
      <c r="I89" s="13" t="n">
        <f aca="false">H89*Parametros!$B$4</f>
        <v>585.75</v>
      </c>
    </row>
    <row r="90" customFormat="false" ht="15" hidden="false" customHeight="false" outlineLevel="0" collapsed="false">
      <c r="A90" s="10" t="s">
        <v>78</v>
      </c>
      <c r="B90" s="10" t="s">
        <v>80</v>
      </c>
      <c r="C90" s="10" t="s">
        <v>36</v>
      </c>
      <c r="D90" s="10" t="s">
        <v>55</v>
      </c>
      <c r="E90" s="10" t="s">
        <v>56</v>
      </c>
      <c r="F90" s="10" t="s">
        <v>59</v>
      </c>
      <c r="G90" s="11" t="n">
        <v>1200</v>
      </c>
      <c r="H90" s="12" t="n">
        <f aca="false">G90*Parametros!$B$6/Parametros!$B$5</f>
        <v>150</v>
      </c>
      <c r="I90" s="13" t="n">
        <f aca="false">H90*Parametros!$B$4</f>
        <v>990</v>
      </c>
    </row>
    <row r="91" customFormat="false" ht="15" hidden="false" customHeight="false" outlineLevel="0" collapsed="false">
      <c r="A91" s="10" t="s">
        <v>78</v>
      </c>
      <c r="B91" s="10" t="s">
        <v>80</v>
      </c>
      <c r="C91" s="10" t="s">
        <v>36</v>
      </c>
      <c r="D91" s="10" t="s">
        <v>83</v>
      </c>
      <c r="E91" s="10" t="s">
        <v>84</v>
      </c>
      <c r="F91" s="10" t="s">
        <v>85</v>
      </c>
      <c r="G91" s="11" t="n">
        <v>800</v>
      </c>
      <c r="H91" s="12" t="n">
        <f aca="false">G91*Parametros!$B$6/Parametros!$B$5</f>
        <v>100</v>
      </c>
      <c r="I91" s="13" t="n">
        <f aca="false">H91*Parametros!$B$4</f>
        <v>660</v>
      </c>
    </row>
    <row r="92" customFormat="false" ht="15" hidden="false" customHeight="false" outlineLevel="0" collapsed="false">
      <c r="A92" s="10" t="s">
        <v>78</v>
      </c>
      <c r="B92" s="10" t="s">
        <v>80</v>
      </c>
      <c r="C92" s="10" t="s">
        <v>36</v>
      </c>
      <c r="D92" s="10" t="s">
        <v>83</v>
      </c>
      <c r="E92" s="10" t="s">
        <v>84</v>
      </c>
      <c r="F92" s="10" t="s">
        <v>86</v>
      </c>
      <c r="G92" s="11" t="n">
        <v>540</v>
      </c>
      <c r="H92" s="12" t="n">
        <f aca="false">G92*Parametros!$B$6/Parametros!$B$5</f>
        <v>67.5</v>
      </c>
      <c r="I92" s="13" t="n">
        <f aca="false">H92*Parametros!$B$4</f>
        <v>445.5</v>
      </c>
    </row>
    <row r="93" customFormat="false" ht="15" hidden="false" customHeight="false" outlineLevel="0" collapsed="false">
      <c r="A93" s="10" t="s">
        <v>78</v>
      </c>
      <c r="B93" s="10" t="s">
        <v>80</v>
      </c>
      <c r="C93" s="10" t="s">
        <v>36</v>
      </c>
      <c r="D93" s="10" t="s">
        <v>83</v>
      </c>
      <c r="E93" s="10" t="s">
        <v>84</v>
      </c>
      <c r="F93" s="10" t="s">
        <v>87</v>
      </c>
      <c r="G93" s="11" t="n">
        <v>1000</v>
      </c>
      <c r="H93" s="12" t="n">
        <f aca="false">G93*Parametros!$B$6/Parametros!$B$5</f>
        <v>125</v>
      </c>
      <c r="I93" s="13" t="n">
        <f aca="false">H93*Parametros!$B$4</f>
        <v>825</v>
      </c>
    </row>
    <row r="94" customFormat="false" ht="15" hidden="false" customHeight="false" outlineLevel="0" collapsed="false">
      <c r="A94" s="10" t="s">
        <v>83</v>
      </c>
      <c r="B94" s="10" t="s">
        <v>85</v>
      </c>
      <c r="C94" s="10" t="s">
        <v>32</v>
      </c>
      <c r="D94" s="10" t="s">
        <v>83</v>
      </c>
      <c r="E94" s="10" t="s">
        <v>84</v>
      </c>
      <c r="F94" s="10" t="s">
        <v>85</v>
      </c>
      <c r="G94" s="11" t="n">
        <v>20</v>
      </c>
      <c r="H94" s="12" t="n">
        <f aca="false">G94*Parametros!$B$6/Parametros!$B$5</f>
        <v>2.5</v>
      </c>
      <c r="I94" s="13" t="n">
        <f aca="false">H94*Parametros!$B$4</f>
        <v>16.5</v>
      </c>
    </row>
    <row r="95" customFormat="false" ht="15" hidden="false" customHeight="false" outlineLevel="0" collapsed="false">
      <c r="A95" s="10" t="s">
        <v>83</v>
      </c>
      <c r="B95" s="10" t="s">
        <v>85</v>
      </c>
      <c r="C95" s="10" t="s">
        <v>32</v>
      </c>
      <c r="D95" s="10" t="s">
        <v>83</v>
      </c>
      <c r="E95" s="10" t="s">
        <v>84</v>
      </c>
      <c r="F95" s="10" t="s">
        <v>86</v>
      </c>
      <c r="G95" s="11" t="n">
        <v>500</v>
      </c>
      <c r="H95" s="12" t="n">
        <f aca="false">G95*Parametros!$B$6/Parametros!$B$5</f>
        <v>62.5</v>
      </c>
      <c r="I95" s="13" t="n">
        <f aca="false">H95*Parametros!$B$4</f>
        <v>412.5</v>
      </c>
    </row>
    <row r="96" customFormat="false" ht="15" hidden="false" customHeight="false" outlineLevel="0" collapsed="false">
      <c r="A96" s="10" t="s">
        <v>83</v>
      </c>
      <c r="B96" s="10" t="s">
        <v>85</v>
      </c>
      <c r="C96" s="10" t="s">
        <v>32</v>
      </c>
      <c r="D96" s="10" t="s">
        <v>83</v>
      </c>
      <c r="E96" s="10" t="s">
        <v>84</v>
      </c>
      <c r="F96" s="10" t="s">
        <v>87</v>
      </c>
      <c r="G96" s="11" t="n">
        <v>235</v>
      </c>
      <c r="H96" s="12" t="n">
        <f aca="false">G96*Parametros!$B$6/Parametros!$B$5</f>
        <v>29.375</v>
      </c>
      <c r="I96" s="13" t="n">
        <f aca="false">H96*Parametros!$B$4</f>
        <v>193.875</v>
      </c>
    </row>
    <row r="97" customFormat="false" ht="15" hidden="false" customHeight="false" outlineLevel="0" collapsed="false">
      <c r="A97" s="10" t="s">
        <v>83</v>
      </c>
      <c r="B97" s="10" t="s">
        <v>85</v>
      </c>
      <c r="C97" s="10" t="s">
        <v>36</v>
      </c>
      <c r="D97" s="10" t="s">
        <v>78</v>
      </c>
      <c r="E97" s="10" t="s">
        <v>79</v>
      </c>
      <c r="F97" s="10" t="s">
        <v>80</v>
      </c>
      <c r="G97" s="11" t="n">
        <v>800</v>
      </c>
      <c r="H97" s="12" t="n">
        <f aca="false">G97*Parametros!$B$6/Parametros!$B$5</f>
        <v>100</v>
      </c>
      <c r="I97" s="13" t="n">
        <f aca="false">H97*Parametros!$B$4</f>
        <v>660</v>
      </c>
    </row>
    <row r="98" customFormat="false" ht="15" hidden="false" customHeight="false" outlineLevel="0" collapsed="false">
      <c r="A98" s="10" t="s">
        <v>83</v>
      </c>
      <c r="B98" s="10" t="s">
        <v>85</v>
      </c>
      <c r="C98" s="10" t="s">
        <v>36</v>
      </c>
      <c r="D98" s="10" t="s">
        <v>78</v>
      </c>
      <c r="E98" s="10" t="s">
        <v>79</v>
      </c>
      <c r="F98" s="10" t="s">
        <v>81</v>
      </c>
      <c r="G98" s="11" t="n">
        <v>770</v>
      </c>
      <c r="H98" s="12" t="n">
        <f aca="false">G98*Parametros!$B$6/Parametros!$B$5</f>
        <v>96.25</v>
      </c>
      <c r="I98" s="13" t="n">
        <f aca="false">H98*Parametros!$B$4</f>
        <v>635.25</v>
      </c>
    </row>
    <row r="99" customFormat="false" ht="15" hidden="false" customHeight="false" outlineLevel="0" collapsed="false">
      <c r="A99" s="10" t="s">
        <v>83</v>
      </c>
      <c r="B99" s="10" t="s">
        <v>85</v>
      </c>
      <c r="C99" s="10" t="s">
        <v>36</v>
      </c>
      <c r="D99" s="10" t="s">
        <v>78</v>
      </c>
      <c r="E99" s="10" t="s">
        <v>79</v>
      </c>
      <c r="F99" s="10" t="s">
        <v>82</v>
      </c>
      <c r="G99" s="11" t="n">
        <v>860</v>
      </c>
      <c r="H99" s="12" t="n">
        <f aca="false">G99*Parametros!$B$6/Parametros!$B$5</f>
        <v>107.5</v>
      </c>
      <c r="I99" s="13" t="n">
        <f aca="false">H99*Parametros!$B$4</f>
        <v>709.5</v>
      </c>
    </row>
  </sheetData>
  <autoFilter ref="A1:I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2" t="s">
        <v>21</v>
      </c>
      <c r="B1" s="2" t="s">
        <v>88</v>
      </c>
      <c r="C1" s="2" t="s">
        <v>89</v>
      </c>
      <c r="D1" s="2" t="s">
        <v>90</v>
      </c>
    </row>
    <row r="2" customFormat="false" ht="15" hidden="false" customHeight="false" outlineLevel="0" collapsed="false">
      <c r="A2" s="10" t="s">
        <v>30</v>
      </c>
      <c r="B2" s="10" t="s">
        <v>31</v>
      </c>
      <c r="C2" s="10" t="s">
        <v>31</v>
      </c>
      <c r="D2" s="10" t="s">
        <v>91</v>
      </c>
    </row>
    <row r="3" customFormat="false" ht="15" hidden="false" customHeight="false" outlineLevel="0" collapsed="false">
      <c r="A3" s="10" t="s">
        <v>44</v>
      </c>
      <c r="B3" s="10" t="s">
        <v>45</v>
      </c>
      <c r="C3" s="10" t="s">
        <v>46</v>
      </c>
      <c r="D3" s="10" t="s">
        <v>92</v>
      </c>
    </row>
    <row r="4" customFormat="false" ht="15" hidden="false" customHeight="false" outlineLevel="0" collapsed="false">
      <c r="A4" s="10" t="s">
        <v>60</v>
      </c>
      <c r="B4" s="10" t="s">
        <v>62</v>
      </c>
      <c r="C4" s="10" t="s">
        <v>61</v>
      </c>
      <c r="D4" s="10" t="s">
        <v>93</v>
      </c>
    </row>
    <row r="5" customFormat="false" ht="15" hidden="false" customHeight="false" outlineLevel="0" collapsed="false">
      <c r="A5" s="10" t="s">
        <v>66</v>
      </c>
      <c r="B5" s="10" t="s">
        <v>67</v>
      </c>
      <c r="C5" s="10" t="s">
        <v>69</v>
      </c>
      <c r="D5" s="10" t="s">
        <v>94</v>
      </c>
    </row>
    <row r="6" customFormat="false" ht="15" hidden="false" customHeight="false" outlineLevel="0" collapsed="false">
      <c r="A6" s="10" t="s">
        <v>55</v>
      </c>
      <c r="B6" s="10" t="s">
        <v>56</v>
      </c>
      <c r="C6" s="10" t="s">
        <v>57</v>
      </c>
      <c r="D6" s="10" t="s">
        <v>95</v>
      </c>
    </row>
    <row r="7" customFormat="false" ht="15" hidden="false" customHeight="false" outlineLevel="0" collapsed="false">
      <c r="A7" s="10" t="s">
        <v>50</v>
      </c>
      <c r="B7" s="10" t="s">
        <v>51</v>
      </c>
      <c r="C7" s="10" t="s">
        <v>52</v>
      </c>
      <c r="D7" s="10" t="s">
        <v>96</v>
      </c>
    </row>
    <row r="8" customFormat="false" ht="15" hidden="false" customHeight="false" outlineLevel="0" collapsed="false">
      <c r="A8" s="10" t="s">
        <v>78</v>
      </c>
      <c r="B8" s="10" t="s">
        <v>79</v>
      </c>
      <c r="C8" s="10" t="s">
        <v>80</v>
      </c>
      <c r="D8" s="10" t="s">
        <v>97</v>
      </c>
    </row>
    <row r="9" customFormat="false" ht="15" hidden="false" customHeight="false" outlineLevel="0" collapsed="false">
      <c r="A9" s="10" t="s">
        <v>83</v>
      </c>
      <c r="B9" s="10" t="s">
        <v>84</v>
      </c>
      <c r="C9" s="10" t="s">
        <v>85</v>
      </c>
      <c r="D9" s="10" t="s">
        <v>98</v>
      </c>
    </row>
    <row r="11" customFormat="false" ht="15" hidden="false" customHeight="false" outlineLevel="0" collapsed="false">
      <c r="A11" s="1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2026-10-22T00:11:11Z</dcterms:created>
  <dc:creator>openpyxl</dc:creator>
  <dc:description/>
  <dc:language>en-US</dc:language>
  <cp:lastModifiedBy/>
  <dcterms:modified xsi:type="dcterms:W3CDTF">2026-10-22T00:11:11Z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